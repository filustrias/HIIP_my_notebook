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Legenda" sheetId="1" state="visible" r:id="rId3"/>
    <sheet name="1. Frentes" sheetId="2" state="visible" r:id="rId4"/>
    <sheet name="2. Master" sheetId="3" state="visible" r:id="rId5"/>
    <sheet name="3. Tarefas" sheetId="4" state="visible" r:id="rId6"/>
    <sheet name="4. Sprints" sheetId="5" state="visible" r:id="rId7"/>
    <sheet name="1. TWG-PHC" sheetId="6" state="visible" r:id="rId8"/>
    <sheet name="2. Background document" sheetId="7" state="visible" r:id="rId9"/>
    <sheet name="3. Strategy document" sheetId="8" state="visible" r:id="rId10"/>
    <sheet name="4. HHFA" sheetId="9" state="visible" r:id="rId11"/>
    <sheet name="5. PFM" sheetId="10" state="visible" r:id="rId12"/>
    <sheet name="6. Investment case" sheetId="11" state="visible" r:id="rId13"/>
    <sheet name="7. Investment plan" sheetId="12" state="visible" r:id="rId14"/>
    <sheet name="8. Essential package" sheetId="13" state="visible" r:id="rId15"/>
    <sheet name="9. Modelo de cuidados" sheetId="14" state="visible" r:id="rId16"/>
    <sheet name="10. Project scoping" sheetId="15" state="visible" r:id="rId17"/>
    <sheet name="11. Financiamento" sheetId="16" state="visible" r:id="rId18"/>
    <sheet name="12. Relatórios" sheetId="17" state="visible" r:id="rId19"/>
  </sheets>
  <definedNames>
    <definedName function="false" hidden="true" localSheetId="5" name="_xlnm._FilterDatabase" vbProcedure="false">'1. TWG-PHC'!$A$3:$P$11</definedName>
    <definedName function="false" hidden="true" localSheetId="14" name="_xlnm._FilterDatabase" vbProcedure="false">'10. Project scoping'!$A$3:$P$9</definedName>
    <definedName function="false" hidden="true" localSheetId="15" name="_xlnm._FilterDatabase" vbProcedure="false">'11. Financiamento'!$A$3:$P$11</definedName>
    <definedName function="false" hidden="true" localSheetId="16" name="_xlnm._FilterDatabase" vbProcedure="false">'12. Relatórios'!$A$3:$P$8</definedName>
    <definedName function="false" hidden="true" localSheetId="6" name="_xlnm._FilterDatabase" vbProcedure="false">'2. Background document'!$A$3:$P$34</definedName>
    <definedName function="false" hidden="true" localSheetId="2" name="_xlnm._FilterDatabase" vbProcedure="false">'2. Master'!$A$3:$P$162</definedName>
    <definedName function="false" hidden="true" localSheetId="7" name="_xlnm._FilterDatabase" vbProcedure="false">'3. Strategy document'!$A$3:$P$12</definedName>
    <definedName function="false" hidden="true" localSheetId="3" name="_xlnm._FilterDatabase" vbProcedure="false">'3. Tarefas'!$A$3:$I$162</definedName>
    <definedName function="false" hidden="true" localSheetId="8" name="_xlnm._FilterDatabase" vbProcedure="false">'4. HHFA'!$A$3:$P$25</definedName>
    <definedName function="false" hidden="true" localSheetId="9" name="_xlnm._FilterDatabase" vbProcedure="false">'5. PFM'!$A$3:$P$23</definedName>
    <definedName function="false" hidden="true" localSheetId="10" name="_xlnm._FilterDatabase" vbProcedure="false">'6. Investment case'!$A$3:$P$16</definedName>
    <definedName function="false" hidden="true" localSheetId="11" name="_xlnm._FilterDatabase" vbProcedure="false">'7. Investment plan'!$A$3:$P$18</definedName>
    <definedName function="false" hidden="true" localSheetId="12" name="_xlnm._FilterDatabase" vbProcedure="false">'8. Essential package'!$A$3:$P$12</definedName>
    <definedName function="false" hidden="true" localSheetId="13" name="_xlnm._FilterDatabase" vbProcedure="false">'9. Modelo de cuidados'!$A$3:$P$16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<sst xmlns="http://schemas.openxmlformats.org/spreadsheetml/2006/main" count="5130" uniqueCount="497">
  <si>
    <t xml:space="preserve">Plano HIIP - legenda e convenções</t>
  </si>
  <si>
    <t xml:space="preserve">Níveis</t>
  </si>
  <si>
    <t xml:space="preserve">Projeto</t>
  </si>
  <si>
    <t xml:space="preserve">O programa maior. Nesta planilha, apenas o HIIP.</t>
  </si>
  <si>
    <t xml:space="preserve">Frente de trabalho (produto)</t>
  </si>
  <si>
    <t xml:space="preserve">A frente que produz um produto. É o nível onde vive a validação externa. Cada frente tem a sua aba própria.</t>
  </si>
  <si>
    <t xml:space="preserve">Resultado (output)</t>
  </si>
  <si>
    <t xml:space="preserve">Entrega intermédia que fecha dentro de uma ou duas sprints. É o nível onde vive a definição de feito.</t>
  </si>
  <si>
    <t xml:space="preserve">Tarefa</t>
  </si>
  <si>
    <t xml:space="preserve">O trabalho concreto. Não tem critério próprio: está feita ou não está.</t>
  </si>
  <si>
    <t xml:space="preserve">Definição de feito e validação</t>
  </si>
  <si>
    <t xml:space="preserve">Definição de feito</t>
  </si>
  <si>
    <t xml:space="preserve">Critérios internos do resultado, sob o teu controlo. O resultado fecha quando são cumpridos.</t>
  </si>
  <si>
    <t xml:space="preserve">Validação externa</t>
  </si>
  <si>
    <t xml:space="preserve">Aceitação pelo cliente (TWG-PHC, TWG-PFM, Ministra, financiadores). Existe só ao nível da frente, tem data própria e não está sob o teu controlo.</t>
  </si>
  <si>
    <t xml:space="preserve">Tarefas sem resultado</t>
  </si>
  <si>
    <t xml:space="preserve">Linhas com o campo Resultado vazio: tarefas que servem diretamente a validação externa da frente.</t>
  </si>
  <si>
    <t xml:space="preserve">Definição de feito geral - aplica-se a todos os resultados</t>
  </si>
  <si>
    <t xml:space="preserve">1</t>
  </si>
  <si>
    <t xml:space="preserve">Revisto por ti numa segunda passagem, em dia diferente do da redação.</t>
  </si>
  <si>
    <t xml:space="preserve">2</t>
  </si>
  <si>
    <t xml:space="preserve">Toda afirmação sobre um documento tem referência de página verificável.</t>
  </si>
  <si>
    <t xml:space="preserve">3</t>
  </si>
  <si>
    <t xml:space="preserve">Fontes de dados identificadas, com data de extração.</t>
  </si>
  <si>
    <t xml:space="preserve">4</t>
  </si>
  <si>
    <t xml:space="preserve">Estruturado pelas alavancas do operational framework de CSP da OMS, quando aplicável.</t>
  </si>
  <si>
    <t xml:space="preserve">5</t>
  </si>
  <si>
    <t xml:space="preserve">Versão datada, guardada na biblioteca do SharePoint, com o link registado.</t>
  </si>
  <si>
    <t xml:space="preserve">6</t>
  </si>
  <si>
    <t xml:space="preserve">Revisão do country office sempre que o resultado sai do escritório.</t>
  </si>
  <si>
    <t xml:space="preserve">7</t>
  </si>
  <si>
    <t xml:space="preserve">Português como versão base; inglês quando se destina a parceiros.</t>
  </si>
  <si>
    <t xml:space="preserve">Estados</t>
  </si>
  <si>
    <t xml:space="preserve">Backlog (identificada) - To do (comprometida para a sprint) - In progress - Blocked (parada por terceiros) - Done.</t>
  </si>
  <si>
    <t xml:space="preserve">Resultado</t>
  </si>
  <si>
    <t xml:space="preserve">Não iniciado - Em curso - Feito.</t>
  </si>
  <si>
    <t xml:space="preserve">Validação</t>
  </si>
  <si>
    <t xml:space="preserve">Não iniciada - Em curso - Feita.</t>
  </si>
  <si>
    <t xml:space="preserve">Outras colunas</t>
  </si>
  <si>
    <t xml:space="preserve">Sprint</t>
  </si>
  <si>
    <t xml:space="preserve">Quinzena prevista. Datas na aba Sprints. 'Recorrente' repete-se em todas; 'TBC' aguarda data.</t>
  </si>
  <si>
    <t xml:space="preserve">Estimativa</t>
  </si>
  <si>
    <t xml:space="preserve">Dias de trabalho. Primeira aproximação, para ser corrigida com o uso.</t>
  </si>
  <si>
    <t xml:space="preserve">Depende de</t>
  </si>
  <si>
    <t xml:space="preserve">O que tem de estar concluído antes. Se não estiver, a tarefa fica Blocked, não atrasada.</t>
  </si>
  <si>
    <t xml:space="preserve">Aprendizado</t>
  </si>
  <si>
    <t xml:space="preserve">Informação crítica surgida ao realizar a tarefa: consequências, dados novos, problemas reconhecidos. Preenche-se ao fazer e revê-se na retrospetiva de fecho de sprint.</t>
  </si>
  <si>
    <t xml:space="preserve">Abas</t>
  </si>
  <si>
    <t xml:space="preserve">1. Frentes</t>
  </si>
  <si>
    <t xml:space="preserve">Uma linha por frente, com validação externa e contagem automática de progresso.</t>
  </si>
  <si>
    <t xml:space="preserve">2. Master</t>
  </si>
  <si>
    <t xml:space="preserve">Todas as linhas do plano: frente, resultado, tarefa. É a fonte de verdade.</t>
  </si>
  <si>
    <t xml:space="preserve">3. Tarefas</t>
  </si>
  <si>
    <t xml:space="preserve">Backlog plano, ordenado por sprint. Para o planeamento de cada quinzena.</t>
  </si>
  <si>
    <t xml:space="preserve">4. Sprints</t>
  </si>
  <si>
    <t xml:space="preserve">Calendário quinzenal de 3 de agosto de 2026 a 2 de julho de 2027.</t>
  </si>
  <si>
    <t xml:space="preserve">5 e seguintes</t>
  </si>
  <si>
    <t xml:space="preserve">Uma aba por frente, com o mesmo conteúdo filtrado.</t>
  </si>
  <si>
    <t xml:space="preserve">Regra de promoção</t>
  </si>
  <si>
    <t xml:space="preserve">Aprendizado que muda o plano não fica só na coluna: vira alteração da definição de feito, tarefa nova ou linha no registo de riscos.</t>
  </si>
  <si>
    <t xml:space="preserve">Frentes do HIIP</t>
  </si>
  <si>
    <t xml:space="preserve">Data validação</t>
  </si>
  <si>
    <t xml:space="preserve">Estado validação</t>
  </si>
  <si>
    <t xml:space="preserve">Resultados</t>
  </si>
  <si>
    <t xml:space="preserve">Tarefas</t>
  </si>
  <si>
    <t xml:space="preserve">Tarefas feitas</t>
  </si>
  <si>
    <t xml:space="preserve">% feito</t>
  </si>
  <si>
    <t xml:space="preserve">Aba</t>
  </si>
  <si>
    <t xml:space="preserve">TWG-PHC</t>
  </si>
  <si>
    <t xml:space="preserve">Autoridades autorizam formalmente a reconstituição do grupo; sessão de refundação realizada com quórum; plano de atividades aceite pelos membros</t>
  </si>
  <si>
    <t xml:space="preserve">Não iniciada</t>
  </si>
  <si>
    <t xml:space="preserve">1. TWG-PHC</t>
  </si>
  <si>
    <t xml:space="preserve">Background document - PHC</t>
  </si>
  <si>
    <t xml:space="preserve">Apresentado ao TWG-PHC; posição registada sobre o diagnóstico; ata com comentários e responsáveis; alterações incorporadas em versão datada</t>
  </si>
  <si>
    <t xml:space="preserve">2. Background document</t>
  </si>
  <si>
    <t xml:space="preserve">Strategy document - PHC</t>
  </si>
  <si>
    <t xml:space="preserve">Apresentada ao TWG-PHC; posição registada sobre cada área priorizada (aceite/alterada/rejeitada); ata com decisões e responsáveis; MINSA confirma que serve de documento de política habilitante; alterações acordadas incorporadas em versão datada</t>
  </si>
  <si>
    <t xml:space="preserve">3. Strategy document</t>
  </si>
  <si>
    <t xml:space="preserve">HHFA e diagnóstico situacional</t>
  </si>
  <si>
    <t xml:space="preserve">Relatório do HHFA apresentado e aceite; mecanismo rotineiro de avaliação estrutural proposto ao MINSA</t>
  </si>
  <si>
    <t xml:space="preserve">4. HHFA</t>
  </si>
  <si>
    <t xml:space="preserve">PFM</t>
  </si>
  <si>
    <t xml:space="preserve">Diagnóstico apresentado ao TWG-PFM; posição registada; ata com decisões; alterações incorporadas em versão datada</t>
  </si>
  <si>
    <t xml:space="preserve">5. PFM</t>
  </si>
  <si>
    <t xml:space="preserve">Investment case - PHC</t>
  </si>
  <si>
    <t xml:space="preserve">Duas validações: diálogo no MINSA com a Ministra sobre a v1 (06/11/2026); validação técnica da v2, com HHFA, pelo TWG-PHC (26/02/2027)</t>
  </si>
  <si>
    <t xml:space="preserve">6. Investment case</t>
  </si>
  <si>
    <t xml:space="preserve">PHC investment plan (custeado)</t>
  </si>
  <si>
    <t xml:space="preserve">Plano validado pelo TWG-PHC; posição registada; alterações incorporadas em versão datada</t>
  </si>
  <si>
    <t xml:space="preserve">7. Investment plan</t>
  </si>
  <si>
    <t xml:space="preserve">Essential package - PHC</t>
  </si>
  <si>
    <t xml:space="preserve">Pacote essencial apresentado ao TWG-PHC; posição registada; alterações incorporadas em versão datada</t>
  </si>
  <si>
    <t xml:space="preserve">8. Essential package</t>
  </si>
  <si>
    <t xml:space="preserve">Modelo de cuidados e perfis profissionais - PHC</t>
  </si>
  <si>
    <t xml:space="preserve">Modelo apresentado ao TWG-PHC; posição registada; alterações incorporadas em versão datada</t>
  </si>
  <si>
    <t xml:space="preserve">9. Modelo de cuidados</t>
  </si>
  <si>
    <t xml:space="preserve">Project scoping - PHC</t>
  </si>
  <si>
    <t xml:space="preserve">Project profiles revistos com o MINSA e os financiadores potenciais</t>
  </si>
  <si>
    <t xml:space="preserve">10. Project scoping</t>
  </si>
  <si>
    <t xml:space="preserve">Mobilização de financiamento - PHC</t>
  </si>
  <si>
    <t xml:space="preserve">Compromissos de financiadores registados; proposta de empréstimo assinada</t>
  </si>
  <si>
    <t xml:space="preserve">11. Financiamento</t>
  </si>
  <si>
    <t xml:space="preserve">Relatórios contratuais do HIIP</t>
  </si>
  <si>
    <t xml:space="preserve">12. Relatórios</t>
  </si>
  <si>
    <t xml:space="preserve">TOTAL</t>
  </si>
  <si>
    <t xml:space="preserve">Master - todas as frentes, resultados e tarefas do HIIP</t>
  </si>
  <si>
    <t xml:space="preserve">Definição de feito (resultado)</t>
  </si>
  <si>
    <t xml:space="preserve">Data resultado</t>
  </si>
  <si>
    <t xml:space="preserve">Estado resultado</t>
  </si>
  <si>
    <t xml:space="preserve">Responsável</t>
  </si>
  <si>
    <t xml:space="preserve">Estimativa (dias)</t>
  </si>
  <si>
    <t xml:space="preserve">Estado tarefa</t>
  </si>
  <si>
    <t xml:space="preserve">HIIP</t>
  </si>
  <si>
    <t xml:space="preserve">Proposta de reconstituição do TWG-PHC</t>
  </si>
  <si>
    <t xml:space="preserve">Lista de atores anteriores identificada; lacunas de representação identificadas; plano de atividades redigido; convites e pedido de autorização preparados</t>
  </si>
  <si>
    <t xml:space="preserve">Não iniciado</t>
  </si>
  <si>
    <t xml:space="preserve">Identificar os atores anteriormente convocados</t>
  </si>
  <si>
    <t xml:space="preserve">S3</t>
  </si>
  <si>
    <t xml:space="preserve">AGJ</t>
  </si>
  <si>
    <t xml:space="preserve">Backlog</t>
  </si>
  <si>
    <t xml:space="preserve">Identificar que atores faltam convocar</t>
  </si>
  <si>
    <t xml:space="preserve">Atores anteriores identificados</t>
  </si>
  <si>
    <t xml:space="preserve">Planear as atividades do grupo de trabalho</t>
  </si>
  <si>
    <t xml:space="preserve">S4</t>
  </si>
  <si>
    <t xml:space="preserve">Lista de atores</t>
  </si>
  <si>
    <t xml:space="preserve">Preparar o pedido de autorização às autoridades</t>
  </si>
  <si>
    <t xml:space="preserve">S5</t>
  </si>
  <si>
    <t xml:space="preserve">Plano de atividades</t>
  </si>
  <si>
    <t xml:space="preserve">Obter autorização formal das autoridades</t>
  </si>
  <si>
    <t xml:space="preserve">Pedido de autorização; anuência da DNSP</t>
  </si>
  <si>
    <t xml:space="preserve">Convidar as autoridades e os membros</t>
  </si>
  <si>
    <t xml:space="preserve">S6</t>
  </si>
  <si>
    <t xml:space="preserve">Autorização formal</t>
  </si>
  <si>
    <t xml:space="preserve">Agendar o encontro com todos</t>
  </si>
  <si>
    <t xml:space="preserve">Convites enviados</t>
  </si>
  <si>
    <t xml:space="preserve">Conduzir a sessão de refundação do grupo</t>
  </si>
  <si>
    <t xml:space="preserve">Encontro agendado</t>
  </si>
  <si>
    <t xml:space="preserve">Auditoria do trabalho anterior das consultoras</t>
  </si>
  <si>
    <t xml:space="preserve">Metodologia previamente aplicada identificada; inventário dos dados recolhidos e dos que faltam; registo do que foi prometido ao cliente, com prazos e produtos; lacunas listadas</t>
  </si>
  <si>
    <t xml:space="preserve">Feito</t>
  </si>
  <si>
    <t xml:space="preserve">Reuniões com as consultoras</t>
  </si>
  <si>
    <t xml:space="preserve">S1</t>
  </si>
  <si>
    <t xml:space="preserve">Done</t>
  </si>
  <si>
    <t xml:space="preserve">Identificação da metodologia previamente aplicada</t>
  </si>
  <si>
    <t xml:space="preserve">Inventário dos dados recolhidos e dos que faltam recolher</t>
  </si>
  <si>
    <t xml:space="preserve">S2</t>
  </si>
  <si>
    <t xml:space="preserve">Levantamento do que foi prometido ao cliente, com prazos e produtos</t>
  </si>
  <si>
    <t xml:space="preserve">Estrutura analítica</t>
  </si>
  <si>
    <t xml:space="preserve">Documento estruturado pelas alavancas do operational framework; guias de entrevista mapeados nas alavancas; material das consultoras mapeado; forma de apresentação de barreiras, lacunas, gargalos e fortalezas definida</t>
  </si>
  <si>
    <t xml:space="preserve">Estruturar o documento pelas alavancas do operational framework</t>
  </si>
  <si>
    <t xml:space="preserve">Auditoria</t>
  </si>
  <si>
    <t xml:space="preserve">Reescrever os guias de entrevista mapeados nas alavancas</t>
  </si>
  <si>
    <t xml:space="preserve">Mapear o material das consultoras contra as alavancas</t>
  </si>
  <si>
    <t xml:space="preserve">Definir a forma de apresentação de barreiras, lacunas, gargalos e fortalezas</t>
  </si>
  <si>
    <t xml:space="preserve">Espinha dorsal quantitativa</t>
  </si>
  <si>
    <t xml:space="preserve">Indicadores extraídos com data de extração; qualidade e completude avaliadas; anomalias listadas para interrogar no campo</t>
  </si>
  <si>
    <t xml:space="preserve">Extrair os indicadores do DHIS2</t>
  </si>
  <si>
    <t xml:space="preserve">Avaliar a qualidade e a completude dos dados extraídos</t>
  </si>
  <si>
    <t xml:space="preserve">Extração do DHIS2</t>
  </si>
  <si>
    <t xml:space="preserve">Identificar anomalias a interrogar no campo</t>
  </si>
  <si>
    <t xml:space="preserve">Avaliação de qualidade</t>
  </si>
  <si>
    <t xml:space="preserve">Preparação das visitas piloto</t>
  </si>
  <si>
    <t xml:space="preserve">Anuência da DNSP registada; itens do HHFA selecionados com justificação; questionários testados no dispositivo antes da partida; lista de unidades e informantes acordada</t>
  </si>
  <si>
    <t xml:space="preserve">Pedir anuência à DNSP para as visitas e entrevistas piloto</t>
  </si>
  <si>
    <t xml:space="preserve">Selecionar do HHFA o que capturar neste piloto</t>
  </si>
  <si>
    <t xml:space="preserve">Preparar os questionários a partir do HHFA</t>
  </si>
  <si>
    <t xml:space="preserve">Seleção de itens do HHFA</t>
  </si>
  <si>
    <t xml:space="preserve">Carregar os questionários no KoboToolbox</t>
  </si>
  <si>
    <t xml:space="preserve">Questionários preparados</t>
  </si>
  <si>
    <t xml:space="preserve">Definir unidades, datas e perfis de informantes</t>
  </si>
  <si>
    <t xml:space="preserve">Anuência da DNSP</t>
  </si>
  <si>
    <t xml:space="preserve">Visitas piloto realizadas</t>
  </si>
  <si>
    <t xml:space="preserve">Unidades previstas visitadas; dados sincronizados do Kobo; notas de entrevista transcritas; limitações do instrumento anotadas</t>
  </si>
  <si>
    <t xml:space="preserve">Conduzir as visitas às unidades sanitárias</t>
  </si>
  <si>
    <t xml:space="preserve">Conduzir entrevistas com profissionais e gestores locais, provinciais e nacionais</t>
  </si>
  <si>
    <t xml:space="preserve">Registar e organizar o material recolhido</t>
  </si>
  <si>
    <t xml:space="preserve">Visitas realizadas</t>
  </si>
  <si>
    <t xml:space="preserve">Registar as lições do piloto para o desenho do HHFA</t>
  </si>
  <si>
    <t xml:space="preserve">Síntese e mapeamento</t>
  </si>
  <si>
    <t xml:space="preserve">Achados codificados; barreiras, lacunas, gargalos e fortalezas classificados por estrutura, processo e resultado e mapeados nas alavancas; modelo de cuidados atual descrito; evidências dos informantes contrapostas à evidência científica atual</t>
  </si>
  <si>
    <t xml:space="preserve">Codificar e sintetizar os achados qualitativos</t>
  </si>
  <si>
    <t xml:space="preserve">Mapear barreiras, lacunas, gargalos e fortalezas por estrutura, processo e resultado</t>
  </si>
  <si>
    <t xml:space="preserve">Síntese qualitativa</t>
  </si>
  <si>
    <t xml:space="preserve">Descrever o modelo de cuidados atual</t>
  </si>
  <si>
    <t xml:space="preserve">Contrapor as evidências dos informantes à evidência científica atual</t>
  </si>
  <si>
    <t xml:space="preserve">Mapeamento</t>
  </si>
  <si>
    <t xml:space="preserve">Background document v1</t>
  </si>
  <si>
    <t xml:space="preserve">Forma de apresentação aplicada; secção de contraste escrita; linguagem adequada ao cliente; evidências e referências revistas; revisão do country office resolvida</t>
  </si>
  <si>
    <t xml:space="preserve">Redigir a secção de contraste entre o que se acredita e o que se observou</t>
  </si>
  <si>
    <t xml:space="preserve">Redigir o background document v1</t>
  </si>
  <si>
    <t xml:space="preserve">Adequar a linguagem ao cliente</t>
  </si>
  <si>
    <t xml:space="preserve">Rever evidências e referências</t>
  </si>
  <si>
    <t xml:space="preserve">Revisão do country office</t>
  </si>
  <si>
    <t xml:space="preserve">Apresentar o documento ao TWG-PHC para validação</t>
  </si>
  <si>
    <t xml:space="preserve">TWG-PHC refundado; Background v1</t>
  </si>
  <si>
    <t xml:space="preserve">Incorporar os comentários do TWG-PHC</t>
  </si>
  <si>
    <t xml:space="preserve">S7</t>
  </si>
  <si>
    <t xml:space="preserve">Sessão de validação</t>
  </si>
  <si>
    <t xml:space="preserve">Mapa de barreiras, lacunas, gargalos e fortalezas</t>
  </si>
  <si>
    <t xml:space="preserve">Itens classificados por estrutura, processo e resultado e mapeados nas alavancas do framework; cada item com fonte identificada; intervenções candidatas com referência e nível de evidência</t>
  </si>
  <si>
    <t xml:space="preserve">Síntese qualitativa do campo</t>
  </si>
  <si>
    <t xml:space="preserve">Rever evidência de intervenções para cada barreira, lacuna e gargalo</t>
  </si>
  <si>
    <t xml:space="preserve">Mapa de barreiras</t>
  </si>
  <si>
    <t xml:space="preserve">Teoria da mudança e leque de opções</t>
  </si>
  <si>
    <t xml:space="preserve">Cadeia barreira &gt; intervenção &gt; resultado explícita; cada opção com custo relativo, tempo até efeito e pré-condições; alternativas descartadas com a razão; áreas e ações candidatas à priorização identificadas</t>
  </si>
  <si>
    <t xml:space="preserve">Desenhar a teoria da mudança</t>
  </si>
  <si>
    <t xml:space="preserve">Tabela de evidência</t>
  </si>
  <si>
    <t xml:space="preserve">Construir o leque de opções para debate</t>
  </si>
  <si>
    <t xml:space="preserve">Teoria da mudança</t>
  </si>
  <si>
    <t xml:space="preserve">Identificação de áreas e ações para priorização</t>
  </si>
  <si>
    <t xml:space="preserve">Leque de opções</t>
  </si>
  <si>
    <t xml:space="preserve">Estratégia v1 com áreas priorizadas</t>
  </si>
  <si>
    <t xml:space="preserve">Cobre todas as alavancas do framework; cada recomendação rastreável a uma barreira e à sua evidência; critério de priorização explícito; revisão do country office resolvida; versão em português pronta</t>
  </si>
  <si>
    <t xml:space="preserve">Redigir a estratégia v1</t>
  </si>
  <si>
    <t xml:space="preserve">Áreas e ações priorizadas</t>
  </si>
  <si>
    <t xml:space="preserve">Revisão interna e pré-alinhamento com o MINSA</t>
  </si>
  <si>
    <t xml:space="preserve">Estratégia v1</t>
  </si>
  <si>
    <t xml:space="preserve">Conduzir o policy dialogue de validação</t>
  </si>
  <si>
    <t xml:space="preserve">TWG-PHC refundado; Estratégia v1</t>
  </si>
  <si>
    <t xml:space="preserve">Incorporar as alterações acordadas</t>
  </si>
  <si>
    <t xml:space="preserve">S8</t>
  </si>
  <si>
    <t xml:space="preserve">Policy dialogue</t>
  </si>
  <si>
    <t xml:space="preserve">Acordo interagências</t>
  </si>
  <si>
    <t xml:space="preserve">Âmbito partilhado acordado; divisão de custos definida; acordo de cofinanciamento formalizado</t>
  </si>
  <si>
    <t xml:space="preserve">Em curso</t>
  </si>
  <si>
    <t xml:space="preserve">Manter as reuniões de alinhamento com o UNICEF e o UNFPA</t>
  </si>
  <si>
    <t xml:space="preserve">In progress</t>
  </si>
  <si>
    <t xml:space="preserve">Definir o âmbito partilhado e a divisão de custos</t>
  </si>
  <si>
    <t xml:space="preserve">Reuniões de alinhamento</t>
  </si>
  <si>
    <t xml:space="preserve">Formalizar o acordo de cofinanciamento</t>
  </si>
  <si>
    <t xml:space="preserve">Âmbito e custos definidos</t>
  </si>
  <si>
    <t xml:space="preserve">Adesão ao inquérito já contratado</t>
  </si>
  <si>
    <t xml:space="preserve">Amostra e ToR obtidos e analisados; lacunas face às perguntas do HIIP identificadas por escrito; margem de inclusão de itens confirmada com o UNFPA; cronograma de recolha conhecido e registado</t>
  </si>
  <si>
    <t xml:space="preserve">Obter e rever a amostragem, o ToR e o contrato já decididos</t>
  </si>
  <si>
    <t xml:space="preserve">Avaliar se a amostra serve às perguntas do diagnóstico dos CSP</t>
  </si>
  <si>
    <t xml:space="preserve">Amostragem obtida</t>
  </si>
  <si>
    <t xml:space="preserve">Identificar que margem existe para acrescentar itens ao instrumento</t>
  </si>
  <si>
    <t xml:space="preserve">Avaliação da amostra</t>
  </si>
  <si>
    <t xml:space="preserve">Participar na reunião de arranque com a empresa contratada</t>
  </si>
  <si>
    <t xml:space="preserve">Alinhar o cronograma de recolha com o calendário do HIIP</t>
  </si>
  <si>
    <t xml:space="preserve">Reunião de arranque</t>
  </si>
  <si>
    <t xml:space="preserve">Seleção de itens</t>
  </si>
  <si>
    <t xml:space="preserve">Itens do HHFA para o piloto selecionados com justificação; lista de itens sumários de estrutura, processo e resultado definida a partir do piloto</t>
  </si>
  <si>
    <t xml:space="preserve">Selecionar do HHFA os itens a capturar no piloto</t>
  </si>
  <si>
    <t xml:space="preserve">Margem de inclusão confirmada</t>
  </si>
  <si>
    <t xml:space="preserve">Definir a lista de itens sumários a partir do piloto</t>
  </si>
  <si>
    <t xml:space="preserve">Instrumento</t>
  </si>
  <si>
    <t xml:space="preserve">Instrumento adaptado ao contexto angolano; programado no Kobo; pré-testado; desenho de métodos mistos sequencial exploratório documentado</t>
  </si>
  <si>
    <t xml:space="preserve">Adaptar o instrumento HHFA ao contexto angolano</t>
  </si>
  <si>
    <t xml:space="preserve">Lista de itens sumários</t>
  </si>
  <si>
    <t xml:space="preserve">Programar o instrumento no KoboToolbox</t>
  </si>
  <si>
    <t xml:space="preserve">Instrumento adaptado</t>
  </si>
  <si>
    <t xml:space="preserve">Pré-testar o instrumento</t>
  </si>
  <si>
    <t xml:space="preserve">Instrumento programado</t>
  </si>
  <si>
    <t xml:space="preserve">Documentar o desenho de métodos mistos sequencial exploratório</t>
  </si>
  <si>
    <t xml:space="preserve">Recolha</t>
  </si>
  <si>
    <t xml:space="preserve">Formação dos inquiridores acompanhada; recolha em curso conforme cronograma; qualidade monitorizada por vaga</t>
  </si>
  <si>
    <t xml:space="preserve">Acompanhar a formação dos inquiridores da empresa</t>
  </si>
  <si>
    <t xml:space="preserve">Instrumento pré-testado</t>
  </si>
  <si>
    <t xml:space="preserve">Acompanhar a logística de terreno</t>
  </si>
  <si>
    <t xml:space="preserve">Monitorizar a qualidade dos dados por vaga</t>
  </si>
  <si>
    <t xml:space="preserve">Recorrente</t>
  </si>
  <si>
    <t xml:space="preserve">Recolha em curso</t>
  </si>
  <si>
    <t xml:space="preserve">Análise</t>
  </si>
  <si>
    <t xml:space="preserve">Base limpa e documentada; análise concluída; relatório do HHFA redigido</t>
  </si>
  <si>
    <t xml:space="preserve">Limpar e organizar a base de dados</t>
  </si>
  <si>
    <t xml:space="preserve">S12</t>
  </si>
  <si>
    <t xml:space="preserve">Recolha concluída</t>
  </si>
  <si>
    <t xml:space="preserve">Analisar os dados</t>
  </si>
  <si>
    <t xml:space="preserve">Base limpa</t>
  </si>
  <si>
    <t xml:space="preserve">Redigir o relatório do HHFA</t>
  </si>
  <si>
    <t xml:space="preserve">S13</t>
  </si>
  <si>
    <t xml:space="preserve">Legado</t>
  </si>
  <si>
    <t xml:space="preserve">Mecanismo rotineiro de avaliação estrutural desenhado; proposta submetida ao MINSA</t>
  </si>
  <si>
    <t xml:space="preserve">Desenhar o mecanismo rotineiro de avaliação estrutural</t>
  </si>
  <si>
    <t xml:space="preserve">Relatório do HHFA</t>
  </si>
  <si>
    <t xml:space="preserve">Propor o mecanismo ao MINSA</t>
  </si>
  <si>
    <t xml:space="preserve">S14</t>
  </si>
  <si>
    <t xml:space="preserve">Mecanismo desenhado</t>
  </si>
  <si>
    <t xml:space="preserve">TWG-PFM constituído</t>
  </si>
  <si>
    <t xml:space="preserve">ToR aprovado pelo MINSA; lista de membros confirmada; relatório das entrevistas partilhado; ata da sessão inaugural com plano de trabalho acordado</t>
  </si>
  <si>
    <t xml:space="preserve">Finalizar o ToR do TWG-PFM</t>
  </si>
  <si>
    <t xml:space="preserve">Confirmar a lista de participantes</t>
  </si>
  <si>
    <t xml:space="preserve">ToR</t>
  </si>
  <si>
    <t xml:space="preserve">Organizar o cronograma e enviar os convites</t>
  </si>
  <si>
    <t xml:space="preserve">Lista de participantes</t>
  </si>
  <si>
    <t xml:space="preserve">Conduzir as entrevistas preparatórias com os membros</t>
  </si>
  <si>
    <t xml:space="preserve">Convites</t>
  </si>
  <si>
    <t xml:space="preserve">Produzir o relatório das entrevistas preparatórias</t>
  </si>
  <si>
    <t xml:space="preserve">Entrevistas preparatórias</t>
  </si>
  <si>
    <t xml:space="preserve">Conduzir a sessão inaugural</t>
  </si>
  <si>
    <t xml:space="preserve">Relatório das entrevistas</t>
  </si>
  <si>
    <t xml:space="preserve">Acordar o plano de trabalho e o calendário quinzenal</t>
  </si>
  <si>
    <t xml:space="preserve">Sessão inaugural</t>
  </si>
  <si>
    <t xml:space="preserve">Consultoria PFM contratada</t>
  </si>
  <si>
    <t xml:space="preserve">ToR aprovado; contrato assinado; especialista local integrado; relatório de arranque aceite</t>
  </si>
  <si>
    <t xml:space="preserve">Reunião com o Banco Mundial sobre o financiamento do especialista local</t>
  </si>
  <si>
    <t xml:space="preserve">Redigir o ToR e as especificações da consultoria</t>
  </si>
  <si>
    <t xml:space="preserve">Conduzir o processo de seleção</t>
  </si>
  <si>
    <t xml:space="preserve">ToR da consultoria</t>
  </si>
  <si>
    <t xml:space="preserve">Contratar a consultoria</t>
  </si>
  <si>
    <t xml:space="preserve">Processo de seleção</t>
  </si>
  <si>
    <t xml:space="preserve">Integrar o especialista local</t>
  </si>
  <si>
    <t xml:space="preserve">Acordo com o Banco Mundial</t>
  </si>
  <si>
    <t xml:space="preserve">Reunião de arranque e validação do plano de trabalho</t>
  </si>
  <si>
    <t xml:space="preserve">Contrato assinado</t>
  </si>
  <si>
    <t xml:space="preserve">Condução da consultoria</t>
  </si>
  <si>
    <t xml:space="preserve">Reuniões quinzenais realizadas com ata; primeiro rascunho revisto; relatório final aceite</t>
  </si>
  <si>
    <t xml:space="preserve">Conduzir as reuniões quinzenais do TWG-PFM</t>
  </si>
  <si>
    <t xml:space="preserve">Supervisionar as entrevistas e atividades com o grupo</t>
  </si>
  <si>
    <t xml:space="preserve">Rever o primeiro rascunho da consultoria</t>
  </si>
  <si>
    <t xml:space="preserve">S9</t>
  </si>
  <si>
    <t xml:space="preserve">Consultoria em curso</t>
  </si>
  <si>
    <t xml:space="preserve">Rever e aceitar o relatório final</t>
  </si>
  <si>
    <t xml:space="preserve">Primeiro rascunho</t>
  </si>
  <si>
    <t xml:space="preserve">Alinhamento com parceiros</t>
  </si>
  <si>
    <t xml:space="preserve">Divisão de trabalho documentada com o UNDP e o Banco Mundial</t>
  </si>
  <si>
    <t xml:space="preserve">Alinhar com o UNDP e o Banco Mundial sobre as frentes de modernização da GFP</t>
  </si>
  <si>
    <t xml:space="preserve">Documentar a divisão de trabalho entre as três instituições</t>
  </si>
  <si>
    <t xml:space="preserve">Alinhamento</t>
  </si>
  <si>
    <t xml:space="preserve">Apresentar o diagnóstico ao TWG-PFM para validação</t>
  </si>
  <si>
    <t xml:space="preserve">Relatório final</t>
  </si>
  <si>
    <t xml:space="preserve">Estrutura e estratégia de materialização</t>
  </si>
  <si>
    <t xml:space="preserve">Estrutura do documento acordada internamente; atores-chave identificados por posição e influência; sequência de conversas planeada até novembro</t>
  </si>
  <si>
    <t xml:space="preserve">Definir a estrutura do investment case</t>
  </si>
  <si>
    <t xml:space="preserve">Identificar os atores cujo apoio dá poder ao documento dentro do MINSA</t>
  </si>
  <si>
    <t xml:space="preserve">Planear o engajamento desses atores ao longo da produção</t>
  </si>
  <si>
    <t xml:space="preserve">Atores identificados</t>
  </si>
  <si>
    <t xml:space="preserve">Base de evidência financeira</t>
  </si>
  <si>
    <t xml:space="preserve">Dados de financiamento reunidos com fonte e data de extração; mapeamento de doadores obtido do project scoping; lacuna de financiamento estimada em ordem de grandeza</t>
  </si>
  <si>
    <t xml:space="preserve">Reunir os dados de financiamento disponíveis</t>
  </si>
  <si>
    <t xml:space="preserve">Obter do project scoping o mapeamento de projetos e doadores</t>
  </si>
  <si>
    <t xml:space="preserve">Mapeamento de doadores</t>
  </si>
  <si>
    <t xml:space="preserve">Estimar a lacuna de financiamento dos CSP em ordem de grandeza</t>
  </si>
  <si>
    <t xml:space="preserve">Dados de financiamento</t>
  </si>
  <si>
    <t xml:space="preserve">Investment case v1</t>
  </si>
  <si>
    <t xml:space="preserve">Narrativa por área priorizada escrita; revisão do country office resolvida; versão datada e pronta para o diálogo com a Ministra</t>
  </si>
  <si>
    <t xml:space="preserve">Escrever a narrativa de investimento por área priorizada</t>
  </si>
  <si>
    <t xml:space="preserve">Estratégia v1; base de evidência</t>
  </si>
  <si>
    <t xml:space="preserve">Redigir o investment case v1</t>
  </si>
  <si>
    <t xml:space="preserve">Narrativa de investimento</t>
  </si>
  <si>
    <t xml:space="preserve">Investment case v2 com HHFA</t>
  </si>
  <si>
    <t xml:space="preserve">Achados do HHFA incorporados; números revistos; versão datada</t>
  </si>
  <si>
    <t xml:space="preserve">Incorporar os achados do HHFA</t>
  </si>
  <si>
    <t xml:space="preserve">Rever os números e a narrativa</t>
  </si>
  <si>
    <t xml:space="preserve">Achados do HHFA incorporados</t>
  </si>
  <si>
    <t xml:space="preserve">Apresentar a v1 no diálogo interno do MINSA, com a Ministra</t>
  </si>
  <si>
    <t xml:space="preserve">Apresentar a v2 ao TWG-PHC para validação</t>
  </si>
  <si>
    <t xml:space="preserve">Investment case v2</t>
  </si>
  <si>
    <t xml:space="preserve">Consenso sobre áreas de investimento</t>
  </si>
  <si>
    <t xml:space="preserve">Buy-in dos stakeholders registado; priorização técnica concluída; consenso político obtido; devido processo dentro do governo seguido e documentado</t>
  </si>
  <si>
    <t xml:space="preserve">Obter o buy-in dos stakeholders sobre as áreas geográficas e temáticas</t>
  </si>
  <si>
    <t xml:space="preserve">Estratégia validada</t>
  </si>
  <si>
    <t xml:space="preserve">Conduzir a priorização técnica</t>
  </si>
  <si>
    <t xml:space="preserve">Buy-in dos stakeholders</t>
  </si>
  <si>
    <t xml:space="preserve">Construir o consenso político</t>
  </si>
  <si>
    <t xml:space="preserve">Priorização técnica</t>
  </si>
  <si>
    <t xml:space="preserve">Seguir o devido processo dentro do governo</t>
  </si>
  <si>
    <t xml:space="preserve">Consenso político</t>
  </si>
  <si>
    <t xml:space="preserve">Evidência financeira</t>
  </si>
  <si>
    <t xml:space="preserve">Contas nacionais de saúde mapeadas; verificação do resource tracking do Banco Mundial concluída; matriz de resource tracking de doadores construída</t>
  </si>
  <si>
    <t xml:space="preserve">Mapear as contas nacionais de saúde relevantes para os CSP</t>
  </si>
  <si>
    <t xml:space="preserve">Verificar se o Banco Mundial fez resource tracking e obter os dados</t>
  </si>
  <si>
    <t xml:space="preserve">Construir a matriz de resource tracking de doadores</t>
  </si>
  <si>
    <t xml:space="preserve">Verificação do resource tracking</t>
  </si>
  <si>
    <t xml:space="preserve">Planeamento de implementação</t>
  </si>
  <si>
    <t xml:space="preserve">Exercícios de planeamento realizados por área; deep dive documentado; pacotes de investimento definidos e traduzidos em planos de ação</t>
  </si>
  <si>
    <t xml:space="preserve">Conduzir os exercícios de planeamento de ação por área de investimento</t>
  </si>
  <si>
    <t xml:space="preserve">S10</t>
  </si>
  <si>
    <t xml:space="preserve">Consenso sobre áreas</t>
  </si>
  <si>
    <t xml:space="preserve">Conduzir o deep dive de implementação por área</t>
  </si>
  <si>
    <t xml:space="preserve">S11</t>
  </si>
  <si>
    <t xml:space="preserve">Exercícios de planeamento</t>
  </si>
  <si>
    <t xml:space="preserve">Definir os pacotes de investimento e traduzi-los em planos de ação</t>
  </si>
  <si>
    <t xml:space="preserve">Deep dive</t>
  </si>
  <si>
    <t xml:space="preserve">Custeio e projeção</t>
  </si>
  <si>
    <t xml:space="preserve">Pacotes de investimento custeados; necessidades de financiamento e coordenação de doadores projetadas</t>
  </si>
  <si>
    <t xml:space="preserve">Custear os pacotes de investimento</t>
  </si>
  <si>
    <t xml:space="preserve">Pacotes definidos</t>
  </si>
  <si>
    <t xml:space="preserve">Projetar necessidades de financiamento e coordenação de doadores</t>
  </si>
  <si>
    <t xml:space="preserve">Custeio; matriz de resource tracking</t>
  </si>
  <si>
    <t xml:space="preserve">Investment plan</t>
  </si>
  <si>
    <t xml:space="preserve">Plano v1 consolidado; revisão pós-validação feita; plano final entregue ao MINSA</t>
  </si>
  <si>
    <t xml:space="preserve">Consolidar o investment plan v1</t>
  </si>
  <si>
    <t xml:space="preserve">S15</t>
  </si>
  <si>
    <t xml:space="preserve">Revisão pós-validação e entrega ao MINSA</t>
  </si>
  <si>
    <t xml:space="preserve">S20</t>
  </si>
  <si>
    <t xml:space="preserve">Validação; reuniões de doadores</t>
  </si>
  <si>
    <t xml:space="preserve">Conduzir o policy dialogue de validação do investment plan</t>
  </si>
  <si>
    <t xml:space="preserve">S16</t>
  </si>
  <si>
    <t xml:space="preserve">Investment plan v1</t>
  </si>
  <si>
    <t xml:space="preserve">Critérios e âmbito</t>
  </si>
  <si>
    <t xml:space="preserve">Critérios de inclusão de serviços definidos; âmbito delimitado por nível de unidade sanitária</t>
  </si>
  <si>
    <t xml:space="preserve">Definir os critérios de inclusão de serviços no pacote</t>
  </si>
  <si>
    <t xml:space="preserve">Delimitar o âmbito por nível de unidade sanitária</t>
  </si>
  <si>
    <t xml:space="preserve">Critérios de inclusão</t>
  </si>
  <si>
    <t xml:space="preserve">Seleção a partir do UHC Compendium</t>
  </si>
  <si>
    <t xml:space="preserve">Intervenções filtradas para o nível dos CSP; seleção adequada ao perfil epidemiológico e à capacidade instalada; confronto com a oferta atual documentado</t>
  </si>
  <si>
    <t xml:space="preserve">Filtrar do UHC Compendium as intervenções aplicáveis ao nível dos CSP</t>
  </si>
  <si>
    <t xml:space="preserve">Adequar a seleção ao perfil epidemiológico e à capacidade instalada em Angola</t>
  </si>
  <si>
    <t xml:space="preserve">Seleção do compendium</t>
  </si>
  <si>
    <t xml:space="preserve">Confrontar a seleção com o que as unidades efetivamente ofertam hoje</t>
  </si>
  <si>
    <t xml:space="preserve">Piloto; HHFA</t>
  </si>
  <si>
    <t xml:space="preserve">Pacote essencial v1</t>
  </si>
  <si>
    <t xml:space="preserve">Pacote redigido; implicações de recursos estimadas por serviço incluído</t>
  </si>
  <si>
    <t xml:space="preserve">Redigir o pacote essencial v1</t>
  </si>
  <si>
    <t xml:space="preserve">Estimar implicações de recursos por serviço incluído</t>
  </si>
  <si>
    <t xml:space="preserve">Pacote v1</t>
  </si>
  <si>
    <t xml:space="preserve">Implementação e monitorização</t>
  </si>
  <si>
    <t xml:space="preserve">Indicadores de implementação definidos; indicadores de monitorização e avaliação definidos</t>
  </si>
  <si>
    <t xml:space="preserve">Definir indicadores de implementação</t>
  </si>
  <si>
    <t xml:space="preserve">Definir indicadores de monitorização e avaliação</t>
  </si>
  <si>
    <t xml:space="preserve">Diagnóstico do modelo atual</t>
  </si>
  <si>
    <t xml:space="preserve">Modelo vigente descrito; limitações identificadas a partir das entrevistas de campo; composição das equipas e funções efetivamente exercidas mapeadas</t>
  </si>
  <si>
    <t xml:space="preserve">Descrever o modelo de cuidados vigente nos CSP</t>
  </si>
  <si>
    <t xml:space="preserve">Identificar as limitações do modelo atual</t>
  </si>
  <si>
    <t xml:space="preserve">Modelo vigente descrito</t>
  </si>
  <si>
    <t xml:space="preserve">Mapear a composição atual das equipas e as funções efetivamente exercidas</t>
  </si>
  <si>
    <t xml:space="preserve">Visitas piloto</t>
  </si>
  <si>
    <t xml:space="preserve">Novo modelo de cuidados</t>
  </si>
  <si>
    <t xml:space="preserve">Princípios definidos; modelo proposto desenhado; articulação com o essential package explícita</t>
  </si>
  <si>
    <t xml:space="preserve">Definir os princípios do novo modelo</t>
  </si>
  <si>
    <t xml:space="preserve">Desenhar o modelo proposto</t>
  </si>
  <si>
    <t xml:space="preserve">Princípios definidos</t>
  </si>
  <si>
    <t xml:space="preserve">Articular o modelo com o essential package</t>
  </si>
  <si>
    <t xml:space="preserve">Critérios do pacote</t>
  </si>
  <si>
    <t xml:space="preserve">Perfis profissionais e equipas</t>
  </si>
  <si>
    <t xml:space="preserve">Ações por categoria profissional derivadas do UHC Compendium; redesenho das equipas proposto; implicações de formação e de quadro de pessoal identificadas</t>
  </si>
  <si>
    <t xml:space="preserve">Derivar do UHC Compendium as ações por categoria profissional</t>
  </si>
  <si>
    <t xml:space="preserve">Definir as ações específicas de cada categoria profissional</t>
  </si>
  <si>
    <t xml:space="preserve">Ações do compendium</t>
  </si>
  <si>
    <t xml:space="preserve">Propor o redesenho das equipas</t>
  </si>
  <si>
    <t xml:space="preserve">Ações por categoria</t>
  </si>
  <si>
    <t xml:space="preserve">Identificar implicações de formação e de quadro de pessoal</t>
  </si>
  <si>
    <t xml:space="preserve">Redesenho das equipas</t>
  </si>
  <si>
    <t xml:space="preserve">Documento do modelo de cuidados</t>
  </si>
  <si>
    <t xml:space="preserve">Documento redigido; consulta às ordens e associações profissionais realizada; revisão do country office resolvida</t>
  </si>
  <si>
    <t xml:space="preserve">Redigir o documento do modelo de cuidados</t>
  </si>
  <si>
    <t xml:space="preserve">Perfis profissionais</t>
  </si>
  <si>
    <t xml:space="preserve">Consultar as ordens e associações profissionais</t>
  </si>
  <si>
    <t xml:space="preserve">Documento redigido</t>
  </si>
  <si>
    <t xml:space="preserve">Mapeamento de projetos e doadores</t>
  </si>
  <si>
    <t xml:space="preserve">Projetos que financiam CSP mapeados; quem financia o quê, para quê e onde identificado; sobreposições e lacunas geográficas e temáticas identificadas</t>
  </si>
  <si>
    <t xml:space="preserve">Mapear os projetos que financiam CSP atualmente</t>
  </si>
  <si>
    <t xml:space="preserve">Identificar quem financia o quê, para quê e onde</t>
  </si>
  <si>
    <t xml:space="preserve">Projetos mapeados</t>
  </si>
  <si>
    <t xml:space="preserve">Identificar sobreposições e lacunas geográficas e temáticas</t>
  </si>
  <si>
    <t xml:space="preserve">Project profiles</t>
  </si>
  <si>
    <t xml:space="preserve">Áreas selecionadas com o MINSA; perfis desenvolvidos; perfis revistos com MINSA e financiadores</t>
  </si>
  <si>
    <t xml:space="preserve">Selecionar 2 a 3 áreas para desenvolvimento de perfis</t>
  </si>
  <si>
    <t xml:space="preserve">Pacotes de investimento</t>
  </si>
  <si>
    <t xml:space="preserve">Desenvolver os project profiles</t>
  </si>
  <si>
    <t xml:space="preserve">S17</t>
  </si>
  <si>
    <t xml:space="preserve">Áreas selecionadas</t>
  </si>
  <si>
    <t xml:space="preserve">Rever os perfis com o MINSA e os financiadores potenciais</t>
  </si>
  <si>
    <t xml:space="preserve">S18</t>
  </si>
  <si>
    <t xml:space="preserve">Perfis desenvolvidos</t>
  </si>
  <si>
    <t xml:space="preserve">Engajamento de financiadores</t>
  </si>
  <si>
    <t xml:space="preserve">BEI engajado nas discussões e na priorização; outros doadores e delegação da UE mapeados; reuniões de validação e buy-in realizadas com registo</t>
  </si>
  <si>
    <t xml:space="preserve">Engajar o BEI nas discussões sobre áreas de investimento</t>
  </si>
  <si>
    <t xml:space="preserve">Envolver o BEI nos exercícios de priorização</t>
  </si>
  <si>
    <t xml:space="preserve">BEI engajado</t>
  </si>
  <si>
    <t xml:space="preserve">Mapear outros doadores e a delegação da UE</t>
  </si>
  <si>
    <t xml:space="preserve">Organizar as reuniões de validação e buy-in</t>
  </si>
  <si>
    <t xml:space="preserve">S19</t>
  </si>
  <si>
    <t xml:space="preserve">Doadores mapeados</t>
  </si>
  <si>
    <t xml:space="preserve">Empréstimo do Banco Mundial</t>
  </si>
  <si>
    <t xml:space="preserve">Pacote documental preparado; versão única e datada nas duas vias; questões técnicas respondidas; proposta final consolidada</t>
  </si>
  <si>
    <t xml:space="preserve">Preparar o pacote documental para o Banco Mundial</t>
  </si>
  <si>
    <t xml:space="preserve">Investment case; investment plan</t>
  </si>
  <si>
    <t xml:space="preserve">Garantir que a versão que segue pela Ministra e pela OMS é a mesma, datada</t>
  </si>
  <si>
    <t xml:space="preserve">Pacote documental</t>
  </si>
  <si>
    <t xml:space="preserve">Acompanhar a negociação e responder às questões técnicas</t>
  </si>
  <si>
    <t xml:space="preserve">Pacote entregue</t>
  </si>
  <si>
    <t xml:space="preserve">Consolidar a proposta final</t>
  </si>
  <si>
    <t xml:space="preserve">S21</t>
  </si>
  <si>
    <t xml:space="preserve">Negociação</t>
  </si>
  <si>
    <t xml:space="preserve">Calendário de reporte</t>
  </si>
  <si>
    <t xml:space="preserve">Calendário contratual confirmado e inscrito no plano</t>
  </si>
  <si>
    <t xml:space="preserve">Confirmar o calendário contratual de reporte</t>
  </si>
  <si>
    <t xml:space="preserve">Relatórios de progresso</t>
  </si>
  <si>
    <t xml:space="preserve">Relatórios submetidos e aceites nos prazos contratuais</t>
  </si>
  <si>
    <t xml:space="preserve">Relatório de progresso - período 1</t>
  </si>
  <si>
    <t xml:space="preserve">TBC</t>
  </si>
  <si>
    <t xml:space="preserve">Relatório de progresso - período 2</t>
  </si>
  <si>
    <t xml:space="preserve">Relatório intercalar</t>
  </si>
  <si>
    <t xml:space="preserve">Relatório anual ou final</t>
  </si>
  <si>
    <t xml:space="preserve">Backlog de tarefas, ordenado por sprint</t>
  </si>
  <si>
    <t xml:space="preserve">Frente</t>
  </si>
  <si>
    <t xml:space="preserve">Estado</t>
  </si>
  <si>
    <t xml:space="preserve">Calendário de sprints - quinzenal, 3 de agosto de 2026 a 2 de julho de 2027</t>
  </si>
  <si>
    <t xml:space="preserve">Início</t>
  </si>
  <si>
    <t xml:space="preserve">Fim</t>
  </si>
  <si>
    <t xml:space="preserve">Tarefas previstas</t>
  </si>
  <si>
    <t xml:space="preserve">Dias previstos</t>
  </si>
  <si>
    <t xml:space="preserve">S22</t>
  </si>
  <si>
    <t xml:space="preserve">S23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</si>
</sst>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E7D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7D3"/>
      </patternFill>
    </fill>
    <fill>
      <patternFill patternType="solid">
        <fgColor rgb="FFD9E7D3"/>
        <bgColor rgb="FFE2EFDA"/>
      </patternFill>
    </fill>
    <fill>
      <patternFill patternType="solid">
        <fgColor rgb="FF2E5E8C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7D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2E5E8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7D3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E8C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8"/>
  </cols>
  <sheetData>
    <row r="1" customFormat="false" ht="21.75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30" hidden="false" customHeight="true" outlineLevel="0" collapsed="false">
      <c r="A5" s="3" t="s">
        <v>4</v>
      </c>
      <c r="B5" s="4" t="s">
        <v>5</v>
      </c>
    </row>
    <row r="6" customFormat="false" ht="30" hidden="false" customHeight="true" outlineLevel="0" collapsed="false">
      <c r="A6" s="3" t="s">
        <v>6</v>
      </c>
      <c r="B6" s="4" t="s">
        <v>7</v>
      </c>
    </row>
    <row r="7" customFormat="false" ht="30" hidden="false" customHeight="true" outlineLevel="0" collapsed="false">
      <c r="A7" s="3" t="s">
        <v>8</v>
      </c>
      <c r="B7" s="4" t="s">
        <v>9</v>
      </c>
    </row>
    <row r="9" customFormat="false" ht="15" hidden="false" customHeight="false" outlineLevel="0" collapsed="false">
      <c r="A9" s="2" t="s">
        <v>10</v>
      </c>
    </row>
    <row r="10" customFormat="false" ht="30" hidden="false" customHeight="true" outlineLevel="0" collapsed="false">
      <c r="A10" s="3" t="s">
        <v>11</v>
      </c>
      <c r="B10" s="4" t="s">
        <v>12</v>
      </c>
    </row>
    <row r="11" customFormat="false" ht="30" hidden="false" customHeight="true" outlineLevel="0" collapsed="false">
      <c r="A11" s="3" t="s">
        <v>13</v>
      </c>
      <c r="B11" s="4" t="s">
        <v>14</v>
      </c>
    </row>
    <row r="12" customFormat="false" ht="30" hidden="false" customHeight="true" outlineLevel="0" collapsed="false">
      <c r="A12" s="3" t="s">
        <v>15</v>
      </c>
      <c r="B12" s="4" t="s">
        <v>16</v>
      </c>
    </row>
    <row r="14" customFormat="false" ht="15" hidden="false" customHeight="false" outlineLevel="0" collapsed="false">
      <c r="A14" s="2" t="s">
        <v>17</v>
      </c>
    </row>
    <row r="15" customFormat="false" ht="30" hidden="false" customHeight="true" outlineLevel="0" collapsed="false">
      <c r="A15" s="3" t="s">
        <v>18</v>
      </c>
      <c r="B15" s="4" t="s">
        <v>19</v>
      </c>
    </row>
    <row r="16" customFormat="false" ht="30" hidden="false" customHeight="true" outlineLevel="0" collapsed="false">
      <c r="A16" s="3" t="s">
        <v>20</v>
      </c>
      <c r="B16" s="4" t="s">
        <v>21</v>
      </c>
    </row>
    <row r="17" customFormat="false" ht="30" hidden="false" customHeight="true" outlineLevel="0" collapsed="false">
      <c r="A17" s="3" t="s">
        <v>22</v>
      </c>
      <c r="B17" s="4" t="s">
        <v>23</v>
      </c>
    </row>
    <row r="18" customFormat="false" ht="30" hidden="false" customHeight="true" outlineLevel="0" collapsed="false">
      <c r="A18" s="3" t="s">
        <v>24</v>
      </c>
      <c r="B18" s="4" t="s">
        <v>25</v>
      </c>
    </row>
    <row r="19" customFormat="false" ht="30" hidden="false" customHeight="true" outlineLevel="0" collapsed="false">
      <c r="A19" s="3" t="s">
        <v>26</v>
      </c>
      <c r="B19" s="4" t="s">
        <v>27</v>
      </c>
    </row>
    <row r="20" customFormat="false" ht="30" hidden="false" customHeight="true" outlineLevel="0" collapsed="false">
      <c r="A20" s="3" t="s">
        <v>28</v>
      </c>
      <c r="B20" s="4" t="s">
        <v>29</v>
      </c>
    </row>
    <row r="21" customFormat="false" ht="30" hidden="false" customHeight="true" outlineLevel="0" collapsed="false">
      <c r="A21" s="3" t="s">
        <v>30</v>
      </c>
      <c r="B21" s="4" t="s">
        <v>31</v>
      </c>
    </row>
    <row r="23" customFormat="false" ht="15" hidden="false" customHeight="false" outlineLevel="0" collapsed="false">
      <c r="A23" s="2" t="s">
        <v>32</v>
      </c>
    </row>
    <row r="24" customFormat="false" ht="30" hidden="false" customHeight="true" outlineLevel="0" collapsed="false">
      <c r="A24" s="3" t="s">
        <v>8</v>
      </c>
      <c r="B24" s="4" t="s">
        <v>33</v>
      </c>
    </row>
    <row r="25" customFormat="false" ht="30" hidden="false" customHeight="true" outlineLevel="0" collapsed="false">
      <c r="A25" s="3" t="s">
        <v>34</v>
      </c>
      <c r="B25" s="4" t="s">
        <v>35</v>
      </c>
    </row>
    <row r="26" customFormat="false" ht="30" hidden="false" customHeight="true" outlineLevel="0" collapsed="false">
      <c r="A26" s="3" t="s">
        <v>36</v>
      </c>
      <c r="B26" s="4" t="s">
        <v>37</v>
      </c>
    </row>
    <row r="28" customFormat="false" ht="15" hidden="false" customHeight="false" outlineLevel="0" collapsed="false">
      <c r="A28" s="2" t="s">
        <v>38</v>
      </c>
    </row>
    <row r="29" customFormat="false" ht="30" hidden="false" customHeight="true" outlineLevel="0" collapsed="false">
      <c r="A29" s="3" t="s">
        <v>39</v>
      </c>
      <c r="B29" s="4" t="s">
        <v>40</v>
      </c>
    </row>
    <row r="30" customFormat="false" ht="30" hidden="false" customHeight="true" outlineLevel="0" collapsed="false">
      <c r="A30" s="3" t="s">
        <v>41</v>
      </c>
      <c r="B30" s="4" t="s">
        <v>42</v>
      </c>
    </row>
    <row r="31" customFormat="false" ht="30" hidden="false" customHeight="true" outlineLevel="0" collapsed="false">
      <c r="A31" s="3" t="s">
        <v>43</v>
      </c>
      <c r="B31" s="4" t="s">
        <v>44</v>
      </c>
    </row>
    <row r="32" customFormat="false" ht="30" hidden="false" customHeight="true" outlineLevel="0" collapsed="false">
      <c r="A32" s="3" t="s">
        <v>45</v>
      </c>
      <c r="B32" s="4" t="s">
        <v>46</v>
      </c>
    </row>
    <row r="34" customFormat="false" ht="15" hidden="false" customHeight="false" outlineLevel="0" collapsed="false">
      <c r="A34" s="2" t="s">
        <v>47</v>
      </c>
    </row>
    <row r="35" customFormat="false" ht="30" hidden="false" customHeight="true" outlineLevel="0" collapsed="false">
      <c r="A35" s="3" t="s">
        <v>48</v>
      </c>
      <c r="B35" s="4" t="s">
        <v>49</v>
      </c>
    </row>
    <row r="36" customFormat="false" ht="30" hidden="false" customHeight="true" outlineLevel="0" collapsed="false">
      <c r="A36" s="3" t="s">
        <v>50</v>
      </c>
      <c r="B36" s="4" t="s">
        <v>51</v>
      </c>
    </row>
    <row r="37" customFormat="false" ht="30" hidden="false" customHeight="true" outlineLevel="0" collapsed="false">
      <c r="A37" s="3" t="s">
        <v>52</v>
      </c>
      <c r="B37" s="4" t="s">
        <v>53</v>
      </c>
    </row>
    <row r="38" customFormat="false" ht="30" hidden="false" customHeight="true" outlineLevel="0" collapsed="false">
      <c r="A38" s="3" t="s">
        <v>54</v>
      </c>
      <c r="B38" s="4" t="s">
        <v>55</v>
      </c>
    </row>
    <row r="39" customFormat="false" ht="30" hidden="false" customHeight="true" outlineLevel="0" collapsed="false">
      <c r="A39" s="3" t="s">
        <v>56</v>
      </c>
      <c r="B39" s="4" t="s">
        <v>57</v>
      </c>
    </row>
    <row r="41" customFormat="false" ht="15" hidden="false" customHeight="false" outlineLevel="0" collapsed="false">
      <c r="A41" s="2" t="s">
        <v>58</v>
      </c>
    </row>
    <row r="42" customFormat="false" ht="15" hidden="false" customHeight="false" outlineLevel="0" collapsed="false">
      <c r="B42" s="5" t="s">
        <v>59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21.7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</row>
    <row r="3" customFormat="false" ht="31.5" hidden="false" customHeight="true" outlineLevel="0" collapsed="false">
      <c r="A3" s="6" t="s">
        <v>4</v>
      </c>
      <c r="B3" s="6" t="s">
        <v>13</v>
      </c>
      <c r="C3" s="6" t="s">
        <v>61</v>
      </c>
      <c r="D3" s="6" t="s">
        <v>62</v>
      </c>
      <c r="E3" s="6" t="s">
        <v>63</v>
      </c>
      <c r="F3" s="6" t="s">
        <v>64</v>
      </c>
      <c r="G3" s="6" t="s">
        <v>65</v>
      </c>
      <c r="H3" s="6" t="s">
        <v>66</v>
      </c>
      <c r="I3" s="6" t="s">
        <v>67</v>
      </c>
    </row>
    <row r="4" customFormat="false" ht="35.05" hidden="false" customHeight="false" outlineLevel="0" collapsed="false">
      <c r="A4" s="7" t="s">
        <v>68</v>
      </c>
      <c r="B4" s="8" t="s">
        <v>69</v>
      </c>
      <c r="C4" s="9" t="n">
        <v>46318</v>
      </c>
      <c r="D4" s="7" t="s">
        <v>70</v>
      </c>
      <c r="E4" s="10" t="n">
        <v>1</v>
      </c>
      <c r="F4" s="10" t="n">
        <v>8</v>
      </c>
      <c r="G4" s="10" t="n">
        <f aca="false">COUNTIFS('2. Master'!$B$4:$B$162,$A4,'2. Master'!$O$4:$O$162,"Done")</f>
        <v>0</v>
      </c>
      <c r="H4" s="11" t="n">
        <f aca="false">IFERROR($G4/$F4,0)</f>
        <v>0</v>
      </c>
      <c r="I4" s="7" t="s">
        <v>71</v>
      </c>
    </row>
    <row r="5" customFormat="false" ht="35.05" hidden="false" customHeight="false" outlineLevel="0" collapsed="false">
      <c r="A5" s="7" t="s">
        <v>72</v>
      </c>
      <c r="B5" s="8" t="s">
        <v>73</v>
      </c>
      <c r="C5" s="9" t="n">
        <v>46332</v>
      </c>
      <c r="D5" s="7" t="s">
        <v>70</v>
      </c>
      <c r="E5" s="10" t="n">
        <v>7</v>
      </c>
      <c r="F5" s="10" t="n">
        <v>31</v>
      </c>
      <c r="G5" s="10" t="n">
        <f aca="false">COUNTIFS('2. Master'!$B$4:$B$162,$A5,'2. Master'!$O$4:$O$162,"Done")</f>
        <v>4</v>
      </c>
      <c r="H5" s="11" t="n">
        <f aca="false">IFERROR($G5/$F5,0)</f>
        <v>0.129032258064516</v>
      </c>
      <c r="I5" s="7" t="s">
        <v>74</v>
      </c>
    </row>
    <row r="6" customFormat="false" ht="46.25" hidden="false" customHeight="false" outlineLevel="0" collapsed="false">
      <c r="A6" s="7" t="s">
        <v>75</v>
      </c>
      <c r="B6" s="8" t="s">
        <v>76</v>
      </c>
      <c r="C6" s="9" t="n">
        <v>46346</v>
      </c>
      <c r="D6" s="7" t="s">
        <v>70</v>
      </c>
      <c r="E6" s="10" t="n">
        <v>3</v>
      </c>
      <c r="F6" s="10" t="n">
        <v>9</v>
      </c>
      <c r="G6" s="10" t="n">
        <f aca="false">COUNTIFS('2. Master'!$B$4:$B$162,$A6,'2. Master'!$O$4:$O$162,"Done")</f>
        <v>0</v>
      </c>
      <c r="H6" s="11" t="n">
        <f aca="false">IFERROR($G6/$F6,0)</f>
        <v>0</v>
      </c>
      <c r="I6" s="7" t="s">
        <v>77</v>
      </c>
    </row>
    <row r="7" customFormat="false" ht="23.85" hidden="false" customHeight="false" outlineLevel="0" collapsed="false">
      <c r="A7" s="7" t="s">
        <v>78</v>
      </c>
      <c r="B7" s="8" t="s">
        <v>79</v>
      </c>
      <c r="C7" s="9" t="n">
        <v>46542</v>
      </c>
      <c r="D7" s="7" t="s">
        <v>70</v>
      </c>
      <c r="E7" s="10" t="n">
        <v>7</v>
      </c>
      <c r="F7" s="10" t="n">
        <v>22</v>
      </c>
      <c r="G7" s="10" t="n">
        <f aca="false">COUNTIFS('2. Master'!$B$4:$B$162,$A7,'2. Master'!$O$4:$O$162,"Done")</f>
        <v>0</v>
      </c>
      <c r="H7" s="11" t="n">
        <f aca="false">IFERROR($G7/$F7,0)</f>
        <v>0</v>
      </c>
      <c r="I7" s="7" t="s">
        <v>80</v>
      </c>
    </row>
    <row r="8" customFormat="false" ht="23.85" hidden="false" customHeight="false" outlineLevel="0" collapsed="false">
      <c r="A8" s="7" t="s">
        <v>81</v>
      </c>
      <c r="B8" s="8" t="s">
        <v>82</v>
      </c>
      <c r="C8" s="9" t="n">
        <v>46444</v>
      </c>
      <c r="D8" s="7" t="s">
        <v>70</v>
      </c>
      <c r="E8" s="10" t="n">
        <v>4</v>
      </c>
      <c r="F8" s="10" t="n">
        <v>20</v>
      </c>
      <c r="G8" s="10" t="n">
        <f aca="false">COUNTIFS('2. Master'!$B$4:$B$162,$A8,'2. Master'!$O$4:$O$162,"Done")</f>
        <v>2</v>
      </c>
      <c r="H8" s="11" t="n">
        <f aca="false">IFERROR($G8/$F8,0)</f>
        <v>0.1</v>
      </c>
      <c r="I8" s="7" t="s">
        <v>83</v>
      </c>
    </row>
    <row r="9" customFormat="false" ht="35.05" hidden="false" customHeight="false" outlineLevel="0" collapsed="false">
      <c r="A9" s="7" t="s">
        <v>84</v>
      </c>
      <c r="B9" s="8" t="s">
        <v>85</v>
      </c>
      <c r="C9" s="9" t="n">
        <v>46444</v>
      </c>
      <c r="D9" s="7" t="s">
        <v>70</v>
      </c>
      <c r="E9" s="10" t="n">
        <v>4</v>
      </c>
      <c r="F9" s="10" t="n">
        <v>13</v>
      </c>
      <c r="G9" s="10" t="n">
        <f aca="false">COUNTIFS('2. Master'!$B$4:$B$162,$A9,'2. Master'!$O$4:$O$162,"Done")</f>
        <v>0</v>
      </c>
      <c r="H9" s="11" t="n">
        <f aca="false">IFERROR($G9/$F9,0)</f>
        <v>0</v>
      </c>
      <c r="I9" s="7" t="s">
        <v>86</v>
      </c>
    </row>
    <row r="10" customFormat="false" ht="23.85" hidden="false" customHeight="false" outlineLevel="0" collapsed="false">
      <c r="A10" s="7" t="s">
        <v>87</v>
      </c>
      <c r="B10" s="8" t="s">
        <v>88</v>
      </c>
      <c r="C10" s="9" t="n">
        <v>46472</v>
      </c>
      <c r="D10" s="7" t="s">
        <v>70</v>
      </c>
      <c r="E10" s="10" t="n">
        <v>5</v>
      </c>
      <c r="F10" s="10" t="n">
        <v>15</v>
      </c>
      <c r="G10" s="10" t="n">
        <f aca="false">COUNTIFS('2. Master'!$B$4:$B$162,$A10,'2. Master'!$O$4:$O$162,"Done")</f>
        <v>0</v>
      </c>
      <c r="H10" s="11" t="n">
        <f aca="false">IFERROR($G10/$F10,0)</f>
        <v>0</v>
      </c>
      <c r="I10" s="7" t="s">
        <v>89</v>
      </c>
    </row>
    <row r="11" customFormat="false" ht="23.85" hidden="false" customHeight="false" outlineLevel="0" collapsed="false">
      <c r="A11" s="7" t="s">
        <v>90</v>
      </c>
      <c r="B11" s="8" t="s">
        <v>91</v>
      </c>
      <c r="C11" s="9" t="n">
        <v>46402</v>
      </c>
      <c r="D11" s="7" t="s">
        <v>70</v>
      </c>
      <c r="E11" s="10" t="n">
        <v>4</v>
      </c>
      <c r="F11" s="10" t="n">
        <v>9</v>
      </c>
      <c r="G11" s="10" t="n">
        <f aca="false">COUNTIFS('2. Master'!$B$4:$B$162,$A11,'2. Master'!$O$4:$O$162,"Done")</f>
        <v>0</v>
      </c>
      <c r="H11" s="11" t="n">
        <f aca="false">IFERROR($G11/$F11,0)</f>
        <v>0</v>
      </c>
      <c r="I11" s="7" t="s">
        <v>92</v>
      </c>
    </row>
    <row r="12" customFormat="false" ht="23.85" hidden="false" customHeight="false" outlineLevel="0" collapsed="false">
      <c r="A12" s="7" t="s">
        <v>93</v>
      </c>
      <c r="B12" s="8" t="s">
        <v>94</v>
      </c>
      <c r="C12" s="9" t="n">
        <v>46402</v>
      </c>
      <c r="D12" s="7" t="s">
        <v>70</v>
      </c>
      <c r="E12" s="10" t="n">
        <v>4</v>
      </c>
      <c r="F12" s="10" t="n">
        <v>13</v>
      </c>
      <c r="G12" s="10" t="n">
        <f aca="false">COUNTIFS('2. Master'!$B$4:$B$162,$A12,'2. Master'!$O$4:$O$162,"Done")</f>
        <v>0</v>
      </c>
      <c r="H12" s="11" t="n">
        <f aca="false">IFERROR($G12/$F12,0)</f>
        <v>0</v>
      </c>
      <c r="I12" s="7" t="s">
        <v>95</v>
      </c>
    </row>
    <row r="13" customFormat="false" ht="15" hidden="false" customHeight="false" outlineLevel="0" collapsed="false">
      <c r="A13" s="7" t="s">
        <v>96</v>
      </c>
      <c r="B13" s="8" t="s">
        <v>97</v>
      </c>
      <c r="C13" s="9" t="n">
        <v>46500</v>
      </c>
      <c r="D13" s="7" t="s">
        <v>70</v>
      </c>
      <c r="E13" s="10" t="n">
        <v>2</v>
      </c>
      <c r="F13" s="10" t="n">
        <v>6</v>
      </c>
      <c r="G13" s="10" t="n">
        <f aca="false">COUNTIFS('2. Master'!$B$4:$B$162,$A13,'2. Master'!$O$4:$O$162,"Done")</f>
        <v>0</v>
      </c>
      <c r="H13" s="11" t="n">
        <f aca="false">IFERROR($G13/$F13,0)</f>
        <v>0</v>
      </c>
      <c r="I13" s="7" t="s">
        <v>98</v>
      </c>
    </row>
    <row r="14" customFormat="false" ht="23.85" hidden="false" customHeight="false" outlineLevel="0" collapsed="false">
      <c r="A14" s="7" t="s">
        <v>99</v>
      </c>
      <c r="B14" s="8" t="s">
        <v>100</v>
      </c>
      <c r="C14" s="9" t="n">
        <v>46556</v>
      </c>
      <c r="D14" s="7" t="s">
        <v>70</v>
      </c>
      <c r="E14" s="10" t="n">
        <v>2</v>
      </c>
      <c r="F14" s="10" t="n">
        <v>8</v>
      </c>
      <c r="G14" s="10" t="n">
        <f aca="false">COUNTIFS('2. Master'!$B$4:$B$162,$A14,'2. Master'!$O$4:$O$162,"Done")</f>
        <v>0</v>
      </c>
      <c r="H14" s="11" t="n">
        <f aca="false">IFERROR($G14/$F14,0)</f>
        <v>0</v>
      </c>
      <c r="I14" s="7" t="s">
        <v>101</v>
      </c>
    </row>
    <row r="15" customFormat="false" ht="15" hidden="false" customHeight="false" outlineLevel="0" collapsed="false">
      <c r="A15" s="7" t="s">
        <v>102</v>
      </c>
      <c r="B15" s="8"/>
      <c r="C15" s="9"/>
      <c r="D15" s="7"/>
      <c r="E15" s="10" t="n">
        <v>2</v>
      </c>
      <c r="F15" s="10" t="n">
        <v>5</v>
      </c>
      <c r="G15" s="10" t="n">
        <f aca="false">COUNTIFS('2. Master'!$B$4:$B$162,$A15,'2. Master'!$O$4:$O$162,"Done")</f>
        <v>0</v>
      </c>
      <c r="H15" s="11" t="n">
        <f aca="false">IFERROR($G15/$F15,0)</f>
        <v>0</v>
      </c>
      <c r="I15" s="7" t="s">
        <v>103</v>
      </c>
    </row>
    <row r="16" customFormat="false" ht="15" hidden="false" customHeight="false" outlineLevel="0" collapsed="false">
      <c r="A16" s="12" t="s">
        <v>104</v>
      </c>
      <c r="B16" s="13"/>
      <c r="C16" s="14"/>
      <c r="D16" s="12"/>
      <c r="E16" s="14" t="n">
        <f aca="false">SUM(E4:E15)</f>
        <v>45</v>
      </c>
      <c r="F16" s="14" t="n">
        <f aca="false">SUM(F4:F15)</f>
        <v>159</v>
      </c>
      <c r="G16" s="14" t="n">
        <f aca="false">SUM(G4:G15)</f>
        <v>6</v>
      </c>
      <c r="H16" s="15" t="n">
        <f aca="false">IFERROR(G16/F16,0)</f>
        <v>0.0377358490566038</v>
      </c>
      <c r="I16" s="12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5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21.75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1.5" hidden="false" customHeight="true" outlineLevel="0" collapsed="false">
      <c r="A3" s="6" t="s">
        <v>2</v>
      </c>
      <c r="B3" s="6" t="s">
        <v>4</v>
      </c>
      <c r="C3" s="6" t="s">
        <v>13</v>
      </c>
      <c r="D3" s="6" t="s">
        <v>61</v>
      </c>
      <c r="E3" s="6" t="s">
        <v>62</v>
      </c>
      <c r="F3" s="6" t="s">
        <v>6</v>
      </c>
      <c r="G3" s="6" t="s">
        <v>106</v>
      </c>
      <c r="H3" s="6" t="s">
        <v>107</v>
      </c>
      <c r="I3" s="6" t="s">
        <v>108</v>
      </c>
      <c r="J3" s="6" t="s">
        <v>8</v>
      </c>
      <c r="K3" s="6" t="s">
        <v>39</v>
      </c>
      <c r="L3" s="6" t="s">
        <v>109</v>
      </c>
      <c r="M3" s="6" t="s">
        <v>110</v>
      </c>
      <c r="N3" s="6" t="s">
        <v>43</v>
      </c>
      <c r="O3" s="6" t="s">
        <v>111</v>
      </c>
      <c r="P3" s="6" t="s">
        <v>45</v>
      </c>
    </row>
    <row r="4" customFormat="false" ht="32.8" hidden="false" customHeight="false" outlineLevel="0" collapsed="false">
      <c r="A4" s="16" t="s">
        <v>112</v>
      </c>
      <c r="B4" s="16" t="s">
        <v>68</v>
      </c>
      <c r="C4" s="17" t="s">
        <v>69</v>
      </c>
      <c r="D4" s="18" t="n">
        <v>46318</v>
      </c>
      <c r="E4" s="19" t="s">
        <v>70</v>
      </c>
      <c r="F4" s="16" t="s">
        <v>113</v>
      </c>
      <c r="G4" s="17" t="s">
        <v>114</v>
      </c>
      <c r="H4" s="18" t="n">
        <v>46304</v>
      </c>
      <c r="I4" s="19" t="s">
        <v>115</v>
      </c>
      <c r="J4" s="17" t="s">
        <v>116</v>
      </c>
      <c r="K4" s="20" t="s">
        <v>117</v>
      </c>
      <c r="L4" s="16" t="s">
        <v>118</v>
      </c>
      <c r="M4" s="20" t="n">
        <v>2</v>
      </c>
      <c r="N4" s="17"/>
      <c r="O4" s="19" t="s">
        <v>119</v>
      </c>
      <c r="P4" s="21"/>
    </row>
    <row r="5" customFormat="false" ht="32.8" hidden="false" customHeight="false" outlineLevel="0" collapsed="false">
      <c r="A5" s="16" t="s">
        <v>112</v>
      </c>
      <c r="B5" s="16" t="s">
        <v>68</v>
      </c>
      <c r="C5" s="17" t="s">
        <v>69</v>
      </c>
      <c r="D5" s="18" t="n">
        <v>46318</v>
      </c>
      <c r="E5" s="19" t="s">
        <v>70</v>
      </c>
      <c r="F5" s="16" t="s">
        <v>113</v>
      </c>
      <c r="G5" s="17" t="s">
        <v>114</v>
      </c>
      <c r="H5" s="18" t="n">
        <v>46304</v>
      </c>
      <c r="I5" s="19" t="s">
        <v>115</v>
      </c>
      <c r="J5" s="17" t="s">
        <v>120</v>
      </c>
      <c r="K5" s="20" t="s">
        <v>117</v>
      </c>
      <c r="L5" s="16" t="s">
        <v>118</v>
      </c>
      <c r="M5" s="20" t="n">
        <v>1</v>
      </c>
      <c r="N5" s="17" t="s">
        <v>121</v>
      </c>
      <c r="O5" s="19" t="s">
        <v>119</v>
      </c>
      <c r="P5" s="21"/>
    </row>
    <row r="6" customFormat="false" ht="32.8" hidden="false" customHeight="false" outlineLevel="0" collapsed="false">
      <c r="A6" s="16" t="s">
        <v>112</v>
      </c>
      <c r="B6" s="16" t="s">
        <v>68</v>
      </c>
      <c r="C6" s="17" t="s">
        <v>69</v>
      </c>
      <c r="D6" s="18" t="n">
        <v>46318</v>
      </c>
      <c r="E6" s="19" t="s">
        <v>70</v>
      </c>
      <c r="F6" s="16" t="s">
        <v>113</v>
      </c>
      <c r="G6" s="17" t="s">
        <v>114</v>
      </c>
      <c r="H6" s="18" t="n">
        <v>46304</v>
      </c>
      <c r="I6" s="19" t="s">
        <v>115</v>
      </c>
      <c r="J6" s="17" t="s">
        <v>122</v>
      </c>
      <c r="K6" s="20" t="s">
        <v>123</v>
      </c>
      <c r="L6" s="16" t="s">
        <v>118</v>
      </c>
      <c r="M6" s="20" t="n">
        <v>3</v>
      </c>
      <c r="N6" s="17" t="s">
        <v>124</v>
      </c>
      <c r="O6" s="19" t="s">
        <v>119</v>
      </c>
      <c r="P6" s="21"/>
    </row>
    <row r="7" customFormat="false" ht="32.8" hidden="false" customHeight="false" outlineLevel="0" collapsed="false">
      <c r="A7" s="16" t="s">
        <v>112</v>
      </c>
      <c r="B7" s="16" t="s">
        <v>68</v>
      </c>
      <c r="C7" s="17" t="s">
        <v>69</v>
      </c>
      <c r="D7" s="18" t="n">
        <v>46318</v>
      </c>
      <c r="E7" s="19" t="s">
        <v>70</v>
      </c>
      <c r="F7" s="16" t="s">
        <v>113</v>
      </c>
      <c r="G7" s="17" t="s">
        <v>114</v>
      </c>
      <c r="H7" s="18" t="n">
        <v>46304</v>
      </c>
      <c r="I7" s="19" t="s">
        <v>115</v>
      </c>
      <c r="J7" s="17" t="s">
        <v>125</v>
      </c>
      <c r="K7" s="20" t="s">
        <v>126</v>
      </c>
      <c r="L7" s="16" t="s">
        <v>118</v>
      </c>
      <c r="M7" s="20" t="n">
        <v>1</v>
      </c>
      <c r="N7" s="17" t="s">
        <v>127</v>
      </c>
      <c r="O7" s="19" t="s">
        <v>119</v>
      </c>
      <c r="P7" s="21"/>
    </row>
    <row r="8" customFormat="false" ht="32.8" hidden="false" customHeight="false" outlineLevel="0" collapsed="false">
      <c r="A8" s="16" t="s">
        <v>112</v>
      </c>
      <c r="B8" s="16" t="s">
        <v>68</v>
      </c>
      <c r="C8" s="17" t="s">
        <v>69</v>
      </c>
      <c r="D8" s="18" t="n">
        <v>46318</v>
      </c>
      <c r="E8" s="19" t="s">
        <v>70</v>
      </c>
      <c r="F8" s="16"/>
      <c r="G8" s="17"/>
      <c r="H8" s="18"/>
      <c r="I8" s="19"/>
      <c r="J8" s="17" t="s">
        <v>128</v>
      </c>
      <c r="K8" s="20" t="s">
        <v>126</v>
      </c>
      <c r="L8" s="16" t="s">
        <v>118</v>
      </c>
      <c r="M8" s="20" t="n">
        <v>2</v>
      </c>
      <c r="N8" s="17" t="s">
        <v>129</v>
      </c>
      <c r="O8" s="19" t="s">
        <v>119</v>
      </c>
      <c r="P8" s="21"/>
    </row>
    <row r="9" customFormat="false" ht="32.8" hidden="false" customHeight="false" outlineLevel="0" collapsed="false">
      <c r="A9" s="16" t="s">
        <v>112</v>
      </c>
      <c r="B9" s="16" t="s">
        <v>68</v>
      </c>
      <c r="C9" s="17" t="s">
        <v>69</v>
      </c>
      <c r="D9" s="18" t="n">
        <v>46318</v>
      </c>
      <c r="E9" s="19" t="s">
        <v>70</v>
      </c>
      <c r="F9" s="16"/>
      <c r="G9" s="17"/>
      <c r="H9" s="18"/>
      <c r="I9" s="19"/>
      <c r="J9" s="17" t="s">
        <v>130</v>
      </c>
      <c r="K9" s="20" t="s">
        <v>131</v>
      </c>
      <c r="L9" s="16" t="s">
        <v>118</v>
      </c>
      <c r="M9" s="20" t="n">
        <v>1</v>
      </c>
      <c r="N9" s="17" t="s">
        <v>132</v>
      </c>
      <c r="O9" s="19" t="s">
        <v>119</v>
      </c>
      <c r="P9" s="21"/>
    </row>
    <row r="10" customFormat="false" ht="32.8" hidden="false" customHeight="false" outlineLevel="0" collapsed="false">
      <c r="A10" s="16" t="s">
        <v>112</v>
      </c>
      <c r="B10" s="16" t="s">
        <v>68</v>
      </c>
      <c r="C10" s="17" t="s">
        <v>69</v>
      </c>
      <c r="D10" s="18" t="n">
        <v>46318</v>
      </c>
      <c r="E10" s="19" t="s">
        <v>70</v>
      </c>
      <c r="F10" s="16"/>
      <c r="G10" s="17"/>
      <c r="H10" s="18"/>
      <c r="I10" s="19"/>
      <c r="J10" s="17" t="s">
        <v>133</v>
      </c>
      <c r="K10" s="20" t="s">
        <v>131</v>
      </c>
      <c r="L10" s="16" t="s">
        <v>118</v>
      </c>
      <c r="M10" s="20" t="n">
        <v>1</v>
      </c>
      <c r="N10" s="17" t="s">
        <v>134</v>
      </c>
      <c r="O10" s="19" t="s">
        <v>119</v>
      </c>
      <c r="P10" s="21"/>
    </row>
    <row r="11" customFormat="false" ht="32.8" hidden="false" customHeight="false" outlineLevel="0" collapsed="false">
      <c r="A11" s="16" t="s">
        <v>112</v>
      </c>
      <c r="B11" s="16" t="s">
        <v>68</v>
      </c>
      <c r="C11" s="17" t="s">
        <v>69</v>
      </c>
      <c r="D11" s="18" t="n">
        <v>46318</v>
      </c>
      <c r="E11" s="19" t="s">
        <v>70</v>
      </c>
      <c r="F11" s="16"/>
      <c r="G11" s="17"/>
      <c r="H11" s="18"/>
      <c r="I11" s="19"/>
      <c r="J11" s="17" t="s">
        <v>135</v>
      </c>
      <c r="K11" s="20" t="s">
        <v>131</v>
      </c>
      <c r="L11" s="16" t="s">
        <v>118</v>
      </c>
      <c r="M11" s="20" t="n">
        <v>1</v>
      </c>
      <c r="N11" s="17" t="s">
        <v>136</v>
      </c>
      <c r="O11" s="19" t="s">
        <v>119</v>
      </c>
      <c r="P11" s="21"/>
    </row>
    <row r="12" customFormat="false" ht="43.25" hidden="false" customHeight="false" outlineLevel="0" collapsed="false">
      <c r="A12" s="22" t="s">
        <v>112</v>
      </c>
      <c r="B12" s="22" t="s">
        <v>72</v>
      </c>
      <c r="C12" s="17" t="s">
        <v>73</v>
      </c>
      <c r="D12" s="18" t="n">
        <v>46332</v>
      </c>
      <c r="E12" s="19" t="s">
        <v>70</v>
      </c>
      <c r="F12" s="22" t="s">
        <v>137</v>
      </c>
      <c r="G12" s="17" t="s">
        <v>138</v>
      </c>
      <c r="H12" s="18" t="n">
        <v>46262</v>
      </c>
      <c r="I12" s="19" t="s">
        <v>139</v>
      </c>
      <c r="J12" s="23" t="s">
        <v>140</v>
      </c>
      <c r="K12" s="20" t="s">
        <v>141</v>
      </c>
      <c r="L12" s="16" t="s">
        <v>118</v>
      </c>
      <c r="M12" s="20" t="n">
        <v>2</v>
      </c>
      <c r="N12" s="17"/>
      <c r="O12" s="19" t="s">
        <v>142</v>
      </c>
      <c r="P12" s="21"/>
    </row>
    <row r="13" customFormat="false" ht="43.25" hidden="false" customHeight="false" outlineLevel="0" collapsed="false">
      <c r="A13" s="22" t="s">
        <v>112</v>
      </c>
      <c r="B13" s="22" t="s">
        <v>72</v>
      </c>
      <c r="C13" s="17" t="s">
        <v>73</v>
      </c>
      <c r="D13" s="18" t="n">
        <v>46332</v>
      </c>
      <c r="E13" s="19" t="s">
        <v>70</v>
      </c>
      <c r="F13" s="22" t="s">
        <v>137</v>
      </c>
      <c r="G13" s="17" t="s">
        <v>138</v>
      </c>
      <c r="H13" s="18" t="n">
        <v>46262</v>
      </c>
      <c r="I13" s="19" t="s">
        <v>139</v>
      </c>
      <c r="J13" s="23" t="s">
        <v>143</v>
      </c>
      <c r="K13" s="20" t="s">
        <v>141</v>
      </c>
      <c r="L13" s="16" t="s">
        <v>118</v>
      </c>
      <c r="M13" s="20" t="n">
        <v>2</v>
      </c>
      <c r="N13" s="17"/>
      <c r="O13" s="19" t="s">
        <v>142</v>
      </c>
      <c r="P13" s="21"/>
    </row>
    <row r="14" customFormat="false" ht="43.25" hidden="false" customHeight="false" outlineLevel="0" collapsed="false">
      <c r="A14" s="22" t="s">
        <v>112</v>
      </c>
      <c r="B14" s="22" t="s">
        <v>72</v>
      </c>
      <c r="C14" s="17" t="s">
        <v>73</v>
      </c>
      <c r="D14" s="18" t="n">
        <v>46332</v>
      </c>
      <c r="E14" s="19" t="s">
        <v>70</v>
      </c>
      <c r="F14" s="22" t="s">
        <v>137</v>
      </c>
      <c r="G14" s="17" t="s">
        <v>138</v>
      </c>
      <c r="H14" s="18" t="n">
        <v>46262</v>
      </c>
      <c r="I14" s="19" t="s">
        <v>139</v>
      </c>
      <c r="J14" s="23" t="s">
        <v>144</v>
      </c>
      <c r="K14" s="20" t="s">
        <v>145</v>
      </c>
      <c r="L14" s="16" t="s">
        <v>118</v>
      </c>
      <c r="M14" s="20" t="n">
        <v>2</v>
      </c>
      <c r="N14" s="17"/>
      <c r="O14" s="19" t="s">
        <v>142</v>
      </c>
      <c r="P14" s="21"/>
    </row>
    <row r="15" customFormat="false" ht="43.25" hidden="false" customHeight="false" outlineLevel="0" collapsed="false">
      <c r="A15" s="22" t="s">
        <v>112</v>
      </c>
      <c r="B15" s="22" t="s">
        <v>72</v>
      </c>
      <c r="C15" s="17" t="s">
        <v>73</v>
      </c>
      <c r="D15" s="18" t="n">
        <v>46332</v>
      </c>
      <c r="E15" s="19" t="s">
        <v>70</v>
      </c>
      <c r="F15" s="22" t="s">
        <v>137</v>
      </c>
      <c r="G15" s="17" t="s">
        <v>138</v>
      </c>
      <c r="H15" s="18" t="n">
        <v>46262</v>
      </c>
      <c r="I15" s="19" t="s">
        <v>139</v>
      </c>
      <c r="J15" s="23" t="s">
        <v>146</v>
      </c>
      <c r="K15" s="20" t="s">
        <v>145</v>
      </c>
      <c r="L15" s="16" t="s">
        <v>118</v>
      </c>
      <c r="M15" s="20" t="n">
        <v>2</v>
      </c>
      <c r="N15" s="17"/>
      <c r="O15" s="19" t="s">
        <v>142</v>
      </c>
      <c r="P15" s="21"/>
    </row>
    <row r="16" customFormat="false" ht="43.25" hidden="false" customHeight="false" outlineLevel="0" collapsed="false">
      <c r="A16" s="16" t="s">
        <v>112</v>
      </c>
      <c r="B16" s="16" t="s">
        <v>72</v>
      </c>
      <c r="C16" s="17" t="s">
        <v>73</v>
      </c>
      <c r="D16" s="18" t="n">
        <v>46332</v>
      </c>
      <c r="E16" s="19" t="s">
        <v>70</v>
      </c>
      <c r="F16" s="16" t="s">
        <v>147</v>
      </c>
      <c r="G16" s="17" t="s">
        <v>148</v>
      </c>
      <c r="H16" s="18" t="n">
        <v>46276</v>
      </c>
      <c r="I16" s="19" t="s">
        <v>115</v>
      </c>
      <c r="J16" s="17" t="s">
        <v>149</v>
      </c>
      <c r="K16" s="20" t="s">
        <v>117</v>
      </c>
      <c r="L16" s="16" t="s">
        <v>118</v>
      </c>
      <c r="M16" s="20" t="n">
        <v>2</v>
      </c>
      <c r="N16" s="17" t="s">
        <v>150</v>
      </c>
      <c r="O16" s="19" t="s">
        <v>119</v>
      </c>
      <c r="P16" s="21"/>
    </row>
    <row r="17" customFormat="false" ht="43.25" hidden="false" customHeight="false" outlineLevel="0" collapsed="false">
      <c r="A17" s="16" t="s">
        <v>112</v>
      </c>
      <c r="B17" s="16" t="s">
        <v>72</v>
      </c>
      <c r="C17" s="17" t="s">
        <v>73</v>
      </c>
      <c r="D17" s="18" t="n">
        <v>46332</v>
      </c>
      <c r="E17" s="19" t="s">
        <v>70</v>
      </c>
      <c r="F17" s="16" t="s">
        <v>147</v>
      </c>
      <c r="G17" s="17" t="s">
        <v>148</v>
      </c>
      <c r="H17" s="18" t="n">
        <v>46276</v>
      </c>
      <c r="I17" s="19" t="s">
        <v>115</v>
      </c>
      <c r="J17" s="17" t="s">
        <v>151</v>
      </c>
      <c r="K17" s="20" t="s">
        <v>117</v>
      </c>
      <c r="L17" s="16" t="s">
        <v>118</v>
      </c>
      <c r="M17" s="20" t="n">
        <v>3</v>
      </c>
      <c r="N17" s="17" t="s">
        <v>147</v>
      </c>
      <c r="O17" s="19" t="s">
        <v>119</v>
      </c>
      <c r="P17" s="21"/>
    </row>
    <row r="18" customFormat="false" ht="43.25" hidden="false" customHeight="false" outlineLevel="0" collapsed="false">
      <c r="A18" s="16" t="s">
        <v>112</v>
      </c>
      <c r="B18" s="16" t="s">
        <v>72</v>
      </c>
      <c r="C18" s="17" t="s">
        <v>73</v>
      </c>
      <c r="D18" s="18" t="n">
        <v>46332</v>
      </c>
      <c r="E18" s="19" t="s">
        <v>70</v>
      </c>
      <c r="F18" s="16" t="s">
        <v>147</v>
      </c>
      <c r="G18" s="17" t="s">
        <v>148</v>
      </c>
      <c r="H18" s="18" t="n">
        <v>46276</v>
      </c>
      <c r="I18" s="19" t="s">
        <v>115</v>
      </c>
      <c r="J18" s="17" t="s">
        <v>152</v>
      </c>
      <c r="K18" s="20" t="s">
        <v>117</v>
      </c>
      <c r="L18" s="16" t="s">
        <v>118</v>
      </c>
      <c r="M18" s="20" t="n">
        <v>2</v>
      </c>
      <c r="N18" s="17" t="s">
        <v>147</v>
      </c>
      <c r="O18" s="19" t="s">
        <v>119</v>
      </c>
      <c r="P18" s="21"/>
    </row>
    <row r="19" customFormat="false" ht="43.25" hidden="false" customHeight="false" outlineLevel="0" collapsed="false">
      <c r="A19" s="16" t="s">
        <v>112</v>
      </c>
      <c r="B19" s="16" t="s">
        <v>72</v>
      </c>
      <c r="C19" s="17" t="s">
        <v>73</v>
      </c>
      <c r="D19" s="18" t="n">
        <v>46332</v>
      </c>
      <c r="E19" s="19" t="s">
        <v>70</v>
      </c>
      <c r="F19" s="16" t="s">
        <v>147</v>
      </c>
      <c r="G19" s="17" t="s">
        <v>148</v>
      </c>
      <c r="H19" s="18" t="n">
        <v>46276</v>
      </c>
      <c r="I19" s="19" t="s">
        <v>115</v>
      </c>
      <c r="J19" s="17" t="s">
        <v>153</v>
      </c>
      <c r="K19" s="20" t="s">
        <v>117</v>
      </c>
      <c r="L19" s="16" t="s">
        <v>118</v>
      </c>
      <c r="M19" s="20" t="n">
        <v>1</v>
      </c>
      <c r="N19" s="17"/>
      <c r="O19" s="19" t="s">
        <v>119</v>
      </c>
      <c r="P19" s="21"/>
    </row>
    <row r="20" customFormat="false" ht="32.8" hidden="false" customHeight="false" outlineLevel="0" collapsed="false">
      <c r="A20" s="16" t="s">
        <v>112</v>
      </c>
      <c r="B20" s="16" t="s">
        <v>72</v>
      </c>
      <c r="C20" s="17" t="s">
        <v>73</v>
      </c>
      <c r="D20" s="18" t="n">
        <v>46332</v>
      </c>
      <c r="E20" s="19" t="s">
        <v>70</v>
      </c>
      <c r="F20" s="16" t="s">
        <v>154</v>
      </c>
      <c r="G20" s="17" t="s">
        <v>155</v>
      </c>
      <c r="H20" s="18" t="n">
        <v>46276</v>
      </c>
      <c r="I20" s="19" t="s">
        <v>115</v>
      </c>
      <c r="J20" s="17" t="s">
        <v>156</v>
      </c>
      <c r="K20" s="20" t="s">
        <v>117</v>
      </c>
      <c r="L20" s="16" t="s">
        <v>118</v>
      </c>
      <c r="M20" s="20" t="n">
        <v>3</v>
      </c>
      <c r="N20" s="17"/>
      <c r="O20" s="19" t="s">
        <v>119</v>
      </c>
      <c r="P20" s="21"/>
    </row>
    <row r="21" customFormat="false" ht="32.8" hidden="false" customHeight="false" outlineLevel="0" collapsed="false">
      <c r="A21" s="16" t="s">
        <v>112</v>
      </c>
      <c r="B21" s="16" t="s">
        <v>72</v>
      </c>
      <c r="C21" s="17" t="s">
        <v>73</v>
      </c>
      <c r="D21" s="18" t="n">
        <v>46332</v>
      </c>
      <c r="E21" s="19" t="s">
        <v>70</v>
      </c>
      <c r="F21" s="16" t="s">
        <v>154</v>
      </c>
      <c r="G21" s="17" t="s">
        <v>155</v>
      </c>
      <c r="H21" s="18" t="n">
        <v>46276</v>
      </c>
      <c r="I21" s="19" t="s">
        <v>115</v>
      </c>
      <c r="J21" s="17" t="s">
        <v>157</v>
      </c>
      <c r="K21" s="20" t="s">
        <v>117</v>
      </c>
      <c r="L21" s="16" t="s">
        <v>118</v>
      </c>
      <c r="M21" s="20" t="n">
        <v>2</v>
      </c>
      <c r="N21" s="17" t="s">
        <v>158</v>
      </c>
      <c r="O21" s="19" t="s">
        <v>119</v>
      </c>
      <c r="P21" s="21"/>
    </row>
    <row r="22" customFormat="false" ht="32.8" hidden="false" customHeight="false" outlineLevel="0" collapsed="false">
      <c r="A22" s="16" t="s">
        <v>112</v>
      </c>
      <c r="B22" s="16" t="s">
        <v>72</v>
      </c>
      <c r="C22" s="17" t="s">
        <v>73</v>
      </c>
      <c r="D22" s="18" t="n">
        <v>46332</v>
      </c>
      <c r="E22" s="19" t="s">
        <v>70</v>
      </c>
      <c r="F22" s="16" t="s">
        <v>154</v>
      </c>
      <c r="G22" s="17" t="s">
        <v>155</v>
      </c>
      <c r="H22" s="18" t="n">
        <v>46276</v>
      </c>
      <c r="I22" s="19" t="s">
        <v>115</v>
      </c>
      <c r="J22" s="17" t="s">
        <v>159</v>
      </c>
      <c r="K22" s="20" t="s">
        <v>117</v>
      </c>
      <c r="L22" s="16" t="s">
        <v>118</v>
      </c>
      <c r="M22" s="20" t="n">
        <v>1</v>
      </c>
      <c r="N22" s="17" t="s">
        <v>160</v>
      </c>
      <c r="O22" s="19" t="s">
        <v>119</v>
      </c>
      <c r="P22" s="21"/>
    </row>
    <row r="23" customFormat="false" ht="32.8" hidden="false" customHeight="false" outlineLevel="0" collapsed="false">
      <c r="A23" s="16" t="s">
        <v>112</v>
      </c>
      <c r="B23" s="16" t="s">
        <v>72</v>
      </c>
      <c r="C23" s="17" t="s">
        <v>73</v>
      </c>
      <c r="D23" s="18" t="n">
        <v>46332</v>
      </c>
      <c r="E23" s="19" t="s">
        <v>70</v>
      </c>
      <c r="F23" s="16" t="s">
        <v>161</v>
      </c>
      <c r="G23" s="17" t="s">
        <v>162</v>
      </c>
      <c r="H23" s="18" t="n">
        <v>46276</v>
      </c>
      <c r="I23" s="19" t="s">
        <v>115</v>
      </c>
      <c r="J23" s="17" t="s">
        <v>163</v>
      </c>
      <c r="K23" s="20" t="s">
        <v>117</v>
      </c>
      <c r="L23" s="16" t="s">
        <v>118</v>
      </c>
      <c r="M23" s="20" t="n">
        <v>2</v>
      </c>
      <c r="N23" s="17"/>
      <c r="O23" s="19" t="s">
        <v>119</v>
      </c>
      <c r="P23" s="21"/>
    </row>
    <row r="24" customFormat="false" ht="32.8" hidden="false" customHeight="false" outlineLevel="0" collapsed="false">
      <c r="A24" s="16" t="s">
        <v>112</v>
      </c>
      <c r="B24" s="16" t="s">
        <v>72</v>
      </c>
      <c r="C24" s="17" t="s">
        <v>73</v>
      </c>
      <c r="D24" s="18" t="n">
        <v>46332</v>
      </c>
      <c r="E24" s="19" t="s">
        <v>70</v>
      </c>
      <c r="F24" s="16" t="s">
        <v>161</v>
      </c>
      <c r="G24" s="17" t="s">
        <v>162</v>
      </c>
      <c r="H24" s="18" t="n">
        <v>46276</v>
      </c>
      <c r="I24" s="19" t="s">
        <v>115</v>
      </c>
      <c r="J24" s="17" t="s">
        <v>164</v>
      </c>
      <c r="K24" s="20" t="s">
        <v>117</v>
      </c>
      <c r="L24" s="16" t="s">
        <v>118</v>
      </c>
      <c r="M24" s="20" t="n">
        <v>2</v>
      </c>
      <c r="N24" s="17"/>
      <c r="O24" s="19" t="s">
        <v>119</v>
      </c>
      <c r="P24" s="21"/>
    </row>
    <row r="25" customFormat="false" ht="32.8" hidden="false" customHeight="false" outlineLevel="0" collapsed="false">
      <c r="A25" s="16" t="s">
        <v>112</v>
      </c>
      <c r="B25" s="16" t="s">
        <v>72</v>
      </c>
      <c r="C25" s="17" t="s">
        <v>73</v>
      </c>
      <c r="D25" s="18" t="n">
        <v>46332</v>
      </c>
      <c r="E25" s="19" t="s">
        <v>70</v>
      </c>
      <c r="F25" s="16" t="s">
        <v>161</v>
      </c>
      <c r="G25" s="17" t="s">
        <v>162</v>
      </c>
      <c r="H25" s="18" t="n">
        <v>46276</v>
      </c>
      <c r="I25" s="19" t="s">
        <v>115</v>
      </c>
      <c r="J25" s="17" t="s">
        <v>165</v>
      </c>
      <c r="K25" s="20" t="s">
        <v>117</v>
      </c>
      <c r="L25" s="16" t="s">
        <v>118</v>
      </c>
      <c r="M25" s="20" t="n">
        <v>3</v>
      </c>
      <c r="N25" s="17" t="s">
        <v>166</v>
      </c>
      <c r="O25" s="19" t="s">
        <v>119</v>
      </c>
      <c r="P25" s="21"/>
    </row>
    <row r="26" customFormat="false" ht="32.8" hidden="false" customHeight="false" outlineLevel="0" collapsed="false">
      <c r="A26" s="16" t="s">
        <v>112</v>
      </c>
      <c r="B26" s="16" t="s">
        <v>72</v>
      </c>
      <c r="C26" s="17" t="s">
        <v>73</v>
      </c>
      <c r="D26" s="18" t="n">
        <v>46332</v>
      </c>
      <c r="E26" s="19" t="s">
        <v>70</v>
      </c>
      <c r="F26" s="16" t="s">
        <v>161</v>
      </c>
      <c r="G26" s="17" t="s">
        <v>162</v>
      </c>
      <c r="H26" s="18" t="n">
        <v>46276</v>
      </c>
      <c r="I26" s="19" t="s">
        <v>115</v>
      </c>
      <c r="J26" s="17" t="s">
        <v>167</v>
      </c>
      <c r="K26" s="20" t="s">
        <v>117</v>
      </c>
      <c r="L26" s="16" t="s">
        <v>118</v>
      </c>
      <c r="M26" s="20" t="n">
        <v>1</v>
      </c>
      <c r="N26" s="17" t="s">
        <v>168</v>
      </c>
      <c r="O26" s="19" t="s">
        <v>119</v>
      </c>
      <c r="P26" s="21"/>
    </row>
    <row r="27" customFormat="false" ht="32.8" hidden="false" customHeight="false" outlineLevel="0" collapsed="false">
      <c r="A27" s="16" t="s">
        <v>112</v>
      </c>
      <c r="B27" s="16" t="s">
        <v>72</v>
      </c>
      <c r="C27" s="17" t="s">
        <v>73</v>
      </c>
      <c r="D27" s="18" t="n">
        <v>46332</v>
      </c>
      <c r="E27" s="19" t="s">
        <v>70</v>
      </c>
      <c r="F27" s="16" t="s">
        <v>161</v>
      </c>
      <c r="G27" s="17" t="s">
        <v>162</v>
      </c>
      <c r="H27" s="18" t="n">
        <v>46276</v>
      </c>
      <c r="I27" s="19" t="s">
        <v>115</v>
      </c>
      <c r="J27" s="17" t="s">
        <v>169</v>
      </c>
      <c r="K27" s="20" t="s">
        <v>117</v>
      </c>
      <c r="L27" s="16" t="s">
        <v>118</v>
      </c>
      <c r="M27" s="20" t="n">
        <v>2</v>
      </c>
      <c r="N27" s="17" t="s">
        <v>170</v>
      </c>
      <c r="O27" s="19" t="s">
        <v>119</v>
      </c>
      <c r="P27" s="21"/>
    </row>
    <row r="28" customFormat="false" ht="32.8" hidden="false" customHeight="false" outlineLevel="0" collapsed="false">
      <c r="A28" s="16" t="s">
        <v>112</v>
      </c>
      <c r="B28" s="16" t="s">
        <v>72</v>
      </c>
      <c r="C28" s="17" t="s">
        <v>73</v>
      </c>
      <c r="D28" s="18" t="n">
        <v>46332</v>
      </c>
      <c r="E28" s="19" t="s">
        <v>70</v>
      </c>
      <c r="F28" s="16" t="s">
        <v>171</v>
      </c>
      <c r="G28" s="17" t="s">
        <v>172</v>
      </c>
      <c r="H28" s="18" t="n">
        <v>46290</v>
      </c>
      <c r="I28" s="19" t="s">
        <v>115</v>
      </c>
      <c r="J28" s="17" t="s">
        <v>173</v>
      </c>
      <c r="K28" s="20" t="s">
        <v>123</v>
      </c>
      <c r="L28" s="16" t="s">
        <v>118</v>
      </c>
      <c r="M28" s="20" t="n">
        <v>6</v>
      </c>
      <c r="N28" s="17" t="s">
        <v>161</v>
      </c>
      <c r="O28" s="19" t="s">
        <v>119</v>
      </c>
      <c r="P28" s="21"/>
    </row>
    <row r="29" customFormat="false" ht="32.8" hidden="false" customHeight="false" outlineLevel="0" collapsed="false">
      <c r="A29" s="16" t="s">
        <v>112</v>
      </c>
      <c r="B29" s="16" t="s">
        <v>72</v>
      </c>
      <c r="C29" s="17" t="s">
        <v>73</v>
      </c>
      <c r="D29" s="18" t="n">
        <v>46332</v>
      </c>
      <c r="E29" s="19" t="s">
        <v>70</v>
      </c>
      <c r="F29" s="16" t="s">
        <v>171</v>
      </c>
      <c r="G29" s="17" t="s">
        <v>172</v>
      </c>
      <c r="H29" s="18" t="n">
        <v>46290</v>
      </c>
      <c r="I29" s="19" t="s">
        <v>115</v>
      </c>
      <c r="J29" s="17" t="s">
        <v>174</v>
      </c>
      <c r="K29" s="20" t="s">
        <v>123</v>
      </c>
      <c r="L29" s="16" t="s">
        <v>118</v>
      </c>
      <c r="M29" s="20" t="n">
        <v>4</v>
      </c>
      <c r="N29" s="17" t="s">
        <v>161</v>
      </c>
      <c r="O29" s="19" t="s">
        <v>119</v>
      </c>
      <c r="P29" s="21"/>
    </row>
    <row r="30" customFormat="false" ht="32.8" hidden="false" customHeight="false" outlineLevel="0" collapsed="false">
      <c r="A30" s="16" t="s">
        <v>112</v>
      </c>
      <c r="B30" s="16" t="s">
        <v>72</v>
      </c>
      <c r="C30" s="17" t="s">
        <v>73</v>
      </c>
      <c r="D30" s="18" t="n">
        <v>46332</v>
      </c>
      <c r="E30" s="19" t="s">
        <v>70</v>
      </c>
      <c r="F30" s="16" t="s">
        <v>171</v>
      </c>
      <c r="G30" s="17" t="s">
        <v>172</v>
      </c>
      <c r="H30" s="18" t="n">
        <v>46290</v>
      </c>
      <c r="I30" s="19" t="s">
        <v>115</v>
      </c>
      <c r="J30" s="17" t="s">
        <v>175</v>
      </c>
      <c r="K30" s="20" t="s">
        <v>123</v>
      </c>
      <c r="L30" s="16" t="s">
        <v>118</v>
      </c>
      <c r="M30" s="20" t="n">
        <v>2</v>
      </c>
      <c r="N30" s="17" t="s">
        <v>176</v>
      </c>
      <c r="O30" s="19" t="s">
        <v>119</v>
      </c>
      <c r="P30" s="21"/>
    </row>
    <row r="31" customFormat="false" ht="32.8" hidden="false" customHeight="false" outlineLevel="0" collapsed="false">
      <c r="A31" s="16" t="s">
        <v>112</v>
      </c>
      <c r="B31" s="16" t="s">
        <v>72</v>
      </c>
      <c r="C31" s="17" t="s">
        <v>73</v>
      </c>
      <c r="D31" s="18" t="n">
        <v>46332</v>
      </c>
      <c r="E31" s="19" t="s">
        <v>70</v>
      </c>
      <c r="F31" s="16" t="s">
        <v>171</v>
      </c>
      <c r="G31" s="17" t="s">
        <v>172</v>
      </c>
      <c r="H31" s="18" t="n">
        <v>46290</v>
      </c>
      <c r="I31" s="19" t="s">
        <v>115</v>
      </c>
      <c r="J31" s="17" t="s">
        <v>177</v>
      </c>
      <c r="K31" s="20" t="s">
        <v>123</v>
      </c>
      <c r="L31" s="16" t="s">
        <v>118</v>
      </c>
      <c r="M31" s="20" t="n">
        <v>1</v>
      </c>
      <c r="N31" s="17" t="s">
        <v>176</v>
      </c>
      <c r="O31" s="19" t="s">
        <v>119</v>
      </c>
      <c r="P31" s="21"/>
    </row>
    <row r="32" customFormat="false" ht="53.7" hidden="false" customHeight="false" outlineLevel="0" collapsed="false">
      <c r="A32" s="16" t="s">
        <v>112</v>
      </c>
      <c r="B32" s="16" t="s">
        <v>72</v>
      </c>
      <c r="C32" s="17" t="s">
        <v>73</v>
      </c>
      <c r="D32" s="18" t="n">
        <v>46332</v>
      </c>
      <c r="E32" s="19" t="s">
        <v>70</v>
      </c>
      <c r="F32" s="16" t="s">
        <v>178</v>
      </c>
      <c r="G32" s="17" t="s">
        <v>179</v>
      </c>
      <c r="H32" s="18" t="n">
        <v>46304</v>
      </c>
      <c r="I32" s="19" t="s">
        <v>115</v>
      </c>
      <c r="J32" s="17" t="s">
        <v>180</v>
      </c>
      <c r="K32" s="20" t="s">
        <v>126</v>
      </c>
      <c r="L32" s="16" t="s">
        <v>118</v>
      </c>
      <c r="M32" s="20" t="n">
        <v>4</v>
      </c>
      <c r="N32" s="17" t="s">
        <v>171</v>
      </c>
      <c r="O32" s="19" t="s">
        <v>119</v>
      </c>
      <c r="P32" s="21"/>
    </row>
    <row r="33" customFormat="false" ht="53.7" hidden="false" customHeight="false" outlineLevel="0" collapsed="false">
      <c r="A33" s="16" t="s">
        <v>112</v>
      </c>
      <c r="B33" s="16" t="s">
        <v>72</v>
      </c>
      <c r="C33" s="17" t="s">
        <v>73</v>
      </c>
      <c r="D33" s="18" t="n">
        <v>46332</v>
      </c>
      <c r="E33" s="19" t="s">
        <v>70</v>
      </c>
      <c r="F33" s="16" t="s">
        <v>178</v>
      </c>
      <c r="G33" s="17" t="s">
        <v>179</v>
      </c>
      <c r="H33" s="18" t="n">
        <v>46304</v>
      </c>
      <c r="I33" s="19" t="s">
        <v>115</v>
      </c>
      <c r="J33" s="17" t="s">
        <v>181</v>
      </c>
      <c r="K33" s="20" t="s">
        <v>126</v>
      </c>
      <c r="L33" s="16" t="s">
        <v>118</v>
      </c>
      <c r="M33" s="20" t="n">
        <v>3</v>
      </c>
      <c r="N33" s="17" t="s">
        <v>182</v>
      </c>
      <c r="O33" s="19" t="s">
        <v>119</v>
      </c>
      <c r="P33" s="21"/>
    </row>
    <row r="34" customFormat="false" ht="53.7" hidden="false" customHeight="false" outlineLevel="0" collapsed="false">
      <c r="A34" s="16" t="s">
        <v>112</v>
      </c>
      <c r="B34" s="16" t="s">
        <v>72</v>
      </c>
      <c r="C34" s="17" t="s">
        <v>73</v>
      </c>
      <c r="D34" s="18" t="n">
        <v>46332</v>
      </c>
      <c r="E34" s="19" t="s">
        <v>70</v>
      </c>
      <c r="F34" s="16" t="s">
        <v>178</v>
      </c>
      <c r="G34" s="17" t="s">
        <v>179</v>
      </c>
      <c r="H34" s="18" t="n">
        <v>46304</v>
      </c>
      <c r="I34" s="19" t="s">
        <v>115</v>
      </c>
      <c r="J34" s="17" t="s">
        <v>183</v>
      </c>
      <c r="K34" s="20" t="s">
        <v>126</v>
      </c>
      <c r="L34" s="16" t="s">
        <v>118</v>
      </c>
      <c r="M34" s="20" t="n">
        <v>3</v>
      </c>
      <c r="N34" s="17" t="s">
        <v>182</v>
      </c>
      <c r="O34" s="19" t="s">
        <v>119</v>
      </c>
      <c r="P34" s="21"/>
    </row>
    <row r="35" customFormat="false" ht="53.7" hidden="false" customHeight="false" outlineLevel="0" collapsed="false">
      <c r="A35" s="16" t="s">
        <v>112</v>
      </c>
      <c r="B35" s="16" t="s">
        <v>72</v>
      </c>
      <c r="C35" s="17" t="s">
        <v>73</v>
      </c>
      <c r="D35" s="18" t="n">
        <v>46332</v>
      </c>
      <c r="E35" s="19" t="s">
        <v>70</v>
      </c>
      <c r="F35" s="16" t="s">
        <v>178</v>
      </c>
      <c r="G35" s="17" t="s">
        <v>179</v>
      </c>
      <c r="H35" s="18" t="n">
        <v>46304</v>
      </c>
      <c r="I35" s="19" t="s">
        <v>115</v>
      </c>
      <c r="J35" s="17" t="s">
        <v>184</v>
      </c>
      <c r="K35" s="20" t="s">
        <v>126</v>
      </c>
      <c r="L35" s="16" t="s">
        <v>118</v>
      </c>
      <c r="M35" s="20" t="n">
        <v>3</v>
      </c>
      <c r="N35" s="17" t="s">
        <v>185</v>
      </c>
      <c r="O35" s="19" t="s">
        <v>119</v>
      </c>
      <c r="P35" s="21"/>
    </row>
    <row r="36" customFormat="false" ht="32.8" hidden="false" customHeight="false" outlineLevel="0" collapsed="false">
      <c r="A36" s="16" t="s">
        <v>112</v>
      </c>
      <c r="B36" s="16" t="s">
        <v>72</v>
      </c>
      <c r="C36" s="17" t="s">
        <v>73</v>
      </c>
      <c r="D36" s="18" t="n">
        <v>46332</v>
      </c>
      <c r="E36" s="19" t="s">
        <v>70</v>
      </c>
      <c r="F36" s="16" t="s">
        <v>186</v>
      </c>
      <c r="G36" s="17" t="s">
        <v>187</v>
      </c>
      <c r="H36" s="18" t="n">
        <v>46318</v>
      </c>
      <c r="I36" s="19" t="s">
        <v>115</v>
      </c>
      <c r="J36" s="17" t="s">
        <v>188</v>
      </c>
      <c r="K36" s="20" t="s">
        <v>126</v>
      </c>
      <c r="L36" s="16" t="s">
        <v>118</v>
      </c>
      <c r="M36" s="20" t="n">
        <v>2</v>
      </c>
      <c r="N36" s="17" t="s">
        <v>178</v>
      </c>
      <c r="O36" s="19" t="s">
        <v>119</v>
      </c>
      <c r="P36" s="21"/>
    </row>
    <row r="37" customFormat="false" ht="32.8" hidden="false" customHeight="false" outlineLevel="0" collapsed="false">
      <c r="A37" s="16" t="s">
        <v>112</v>
      </c>
      <c r="B37" s="16" t="s">
        <v>72</v>
      </c>
      <c r="C37" s="17" t="s">
        <v>73</v>
      </c>
      <c r="D37" s="18" t="n">
        <v>46332</v>
      </c>
      <c r="E37" s="19" t="s">
        <v>70</v>
      </c>
      <c r="F37" s="16" t="s">
        <v>186</v>
      </c>
      <c r="G37" s="17" t="s">
        <v>187</v>
      </c>
      <c r="H37" s="18" t="n">
        <v>46318</v>
      </c>
      <c r="I37" s="19" t="s">
        <v>115</v>
      </c>
      <c r="J37" s="17" t="s">
        <v>189</v>
      </c>
      <c r="K37" s="20" t="s">
        <v>126</v>
      </c>
      <c r="L37" s="16" t="s">
        <v>118</v>
      </c>
      <c r="M37" s="20" t="n">
        <v>5</v>
      </c>
      <c r="N37" s="17" t="s">
        <v>178</v>
      </c>
      <c r="O37" s="19" t="s">
        <v>119</v>
      </c>
      <c r="P37" s="21"/>
    </row>
    <row r="38" customFormat="false" ht="32.8" hidden="false" customHeight="false" outlineLevel="0" collapsed="false">
      <c r="A38" s="16" t="s">
        <v>112</v>
      </c>
      <c r="B38" s="16" t="s">
        <v>72</v>
      </c>
      <c r="C38" s="17" t="s">
        <v>73</v>
      </c>
      <c r="D38" s="18" t="n">
        <v>46332</v>
      </c>
      <c r="E38" s="19" t="s">
        <v>70</v>
      </c>
      <c r="F38" s="16" t="s">
        <v>186</v>
      </c>
      <c r="G38" s="17" t="s">
        <v>187</v>
      </c>
      <c r="H38" s="18" t="n">
        <v>46318</v>
      </c>
      <c r="I38" s="19" t="s">
        <v>115</v>
      </c>
      <c r="J38" s="17" t="s">
        <v>190</v>
      </c>
      <c r="K38" s="20" t="s">
        <v>131</v>
      </c>
      <c r="L38" s="16" t="s">
        <v>118</v>
      </c>
      <c r="M38" s="20" t="n">
        <v>2</v>
      </c>
      <c r="N38" s="17" t="s">
        <v>186</v>
      </c>
      <c r="O38" s="19" t="s">
        <v>119</v>
      </c>
      <c r="P38" s="21"/>
    </row>
    <row r="39" customFormat="false" ht="32.8" hidden="false" customHeight="false" outlineLevel="0" collapsed="false">
      <c r="A39" s="16" t="s">
        <v>112</v>
      </c>
      <c r="B39" s="16" t="s">
        <v>72</v>
      </c>
      <c r="C39" s="17" t="s">
        <v>73</v>
      </c>
      <c r="D39" s="18" t="n">
        <v>46332</v>
      </c>
      <c r="E39" s="19" t="s">
        <v>70</v>
      </c>
      <c r="F39" s="16" t="s">
        <v>186</v>
      </c>
      <c r="G39" s="17" t="s">
        <v>187</v>
      </c>
      <c r="H39" s="18" t="n">
        <v>46318</v>
      </c>
      <c r="I39" s="19" t="s">
        <v>115</v>
      </c>
      <c r="J39" s="17" t="s">
        <v>191</v>
      </c>
      <c r="K39" s="20" t="s">
        <v>131</v>
      </c>
      <c r="L39" s="16" t="s">
        <v>118</v>
      </c>
      <c r="M39" s="20" t="n">
        <v>2</v>
      </c>
      <c r="N39" s="17" t="s">
        <v>186</v>
      </c>
      <c r="O39" s="19" t="s">
        <v>119</v>
      </c>
      <c r="P39" s="21"/>
    </row>
    <row r="40" customFormat="false" ht="32.8" hidden="false" customHeight="false" outlineLevel="0" collapsed="false">
      <c r="A40" s="16" t="s">
        <v>112</v>
      </c>
      <c r="B40" s="16" t="s">
        <v>72</v>
      </c>
      <c r="C40" s="17" t="s">
        <v>73</v>
      </c>
      <c r="D40" s="18" t="n">
        <v>46332</v>
      </c>
      <c r="E40" s="19" t="s">
        <v>70</v>
      </c>
      <c r="F40" s="16" t="s">
        <v>186</v>
      </c>
      <c r="G40" s="17" t="s">
        <v>187</v>
      </c>
      <c r="H40" s="18" t="n">
        <v>46318</v>
      </c>
      <c r="I40" s="19" t="s">
        <v>115</v>
      </c>
      <c r="J40" s="17" t="s">
        <v>192</v>
      </c>
      <c r="K40" s="20" t="s">
        <v>131</v>
      </c>
      <c r="L40" s="16" t="s">
        <v>118</v>
      </c>
      <c r="M40" s="20" t="n">
        <v>2</v>
      </c>
      <c r="N40" s="17" t="s">
        <v>186</v>
      </c>
      <c r="O40" s="19" t="s">
        <v>119</v>
      </c>
      <c r="P40" s="21"/>
    </row>
    <row r="41" customFormat="false" ht="32.8" hidden="false" customHeight="false" outlineLevel="0" collapsed="false">
      <c r="A41" s="16" t="s">
        <v>112</v>
      </c>
      <c r="B41" s="16" t="s">
        <v>72</v>
      </c>
      <c r="C41" s="17" t="s">
        <v>73</v>
      </c>
      <c r="D41" s="18" t="n">
        <v>46332</v>
      </c>
      <c r="E41" s="19" t="s">
        <v>70</v>
      </c>
      <c r="F41" s="16"/>
      <c r="G41" s="17"/>
      <c r="H41" s="18"/>
      <c r="I41" s="19"/>
      <c r="J41" s="17" t="s">
        <v>193</v>
      </c>
      <c r="K41" s="20" t="s">
        <v>131</v>
      </c>
      <c r="L41" s="16" t="s">
        <v>118</v>
      </c>
      <c r="M41" s="20" t="n">
        <v>1</v>
      </c>
      <c r="N41" s="17" t="s">
        <v>194</v>
      </c>
      <c r="O41" s="19" t="s">
        <v>119</v>
      </c>
      <c r="P41" s="21"/>
    </row>
    <row r="42" customFormat="false" ht="32.8" hidden="false" customHeight="false" outlineLevel="0" collapsed="false">
      <c r="A42" s="16" t="s">
        <v>112</v>
      </c>
      <c r="B42" s="16" t="s">
        <v>72</v>
      </c>
      <c r="C42" s="17" t="s">
        <v>73</v>
      </c>
      <c r="D42" s="18" t="n">
        <v>46332</v>
      </c>
      <c r="E42" s="19" t="s">
        <v>70</v>
      </c>
      <c r="F42" s="16"/>
      <c r="G42" s="17"/>
      <c r="H42" s="18"/>
      <c r="I42" s="19"/>
      <c r="J42" s="17" t="s">
        <v>195</v>
      </c>
      <c r="K42" s="20" t="s">
        <v>196</v>
      </c>
      <c r="L42" s="16" t="s">
        <v>118</v>
      </c>
      <c r="M42" s="20" t="n">
        <v>2</v>
      </c>
      <c r="N42" s="17" t="s">
        <v>197</v>
      </c>
      <c r="O42" s="19" t="s">
        <v>119</v>
      </c>
      <c r="P42" s="21"/>
    </row>
    <row r="43" customFormat="false" ht="64.15" hidden="false" customHeight="false" outlineLevel="0" collapsed="false">
      <c r="A43" s="16" t="s">
        <v>112</v>
      </c>
      <c r="B43" s="16" t="s">
        <v>75</v>
      </c>
      <c r="C43" s="17" t="s">
        <v>76</v>
      </c>
      <c r="D43" s="18" t="n">
        <v>46346</v>
      </c>
      <c r="E43" s="19" t="s">
        <v>70</v>
      </c>
      <c r="F43" s="16" t="s">
        <v>198</v>
      </c>
      <c r="G43" s="17" t="s">
        <v>199</v>
      </c>
      <c r="H43" s="18" t="n">
        <v>46304</v>
      </c>
      <c r="I43" s="19" t="s">
        <v>115</v>
      </c>
      <c r="J43" s="17" t="s">
        <v>181</v>
      </c>
      <c r="K43" s="20" t="s">
        <v>126</v>
      </c>
      <c r="L43" s="16" t="s">
        <v>118</v>
      </c>
      <c r="M43" s="20" t="n">
        <v>4</v>
      </c>
      <c r="N43" s="17" t="s">
        <v>200</v>
      </c>
      <c r="O43" s="19" t="s">
        <v>119</v>
      </c>
      <c r="P43" s="21"/>
    </row>
    <row r="44" customFormat="false" ht="64.15" hidden="false" customHeight="false" outlineLevel="0" collapsed="false">
      <c r="A44" s="16" t="s">
        <v>112</v>
      </c>
      <c r="B44" s="16" t="s">
        <v>75</v>
      </c>
      <c r="C44" s="17" t="s">
        <v>76</v>
      </c>
      <c r="D44" s="18" t="n">
        <v>46346</v>
      </c>
      <c r="E44" s="19" t="s">
        <v>70</v>
      </c>
      <c r="F44" s="16" t="s">
        <v>198</v>
      </c>
      <c r="G44" s="17" t="s">
        <v>199</v>
      </c>
      <c r="H44" s="18" t="n">
        <v>46304</v>
      </c>
      <c r="I44" s="19" t="s">
        <v>115</v>
      </c>
      <c r="J44" s="17" t="s">
        <v>201</v>
      </c>
      <c r="K44" s="20" t="s">
        <v>126</v>
      </c>
      <c r="L44" s="16" t="s">
        <v>118</v>
      </c>
      <c r="M44" s="20" t="n">
        <v>5</v>
      </c>
      <c r="N44" s="17" t="s">
        <v>202</v>
      </c>
      <c r="O44" s="19" t="s">
        <v>119</v>
      </c>
      <c r="P44" s="21"/>
    </row>
    <row r="45" customFormat="false" ht="64.15" hidden="false" customHeight="false" outlineLevel="0" collapsed="false">
      <c r="A45" s="16" t="s">
        <v>112</v>
      </c>
      <c r="B45" s="16" t="s">
        <v>75</v>
      </c>
      <c r="C45" s="17" t="s">
        <v>76</v>
      </c>
      <c r="D45" s="18" t="n">
        <v>46346</v>
      </c>
      <c r="E45" s="19" t="s">
        <v>70</v>
      </c>
      <c r="F45" s="16" t="s">
        <v>203</v>
      </c>
      <c r="G45" s="17" t="s">
        <v>204</v>
      </c>
      <c r="H45" s="18" t="n">
        <v>46304</v>
      </c>
      <c r="I45" s="19" t="s">
        <v>115</v>
      </c>
      <c r="J45" s="17" t="s">
        <v>205</v>
      </c>
      <c r="K45" s="20" t="s">
        <v>126</v>
      </c>
      <c r="L45" s="16" t="s">
        <v>118</v>
      </c>
      <c r="M45" s="20" t="n">
        <v>3</v>
      </c>
      <c r="N45" s="17" t="s">
        <v>206</v>
      </c>
      <c r="O45" s="19" t="s">
        <v>119</v>
      </c>
      <c r="P45" s="21"/>
    </row>
    <row r="46" customFormat="false" ht="64.15" hidden="false" customHeight="false" outlineLevel="0" collapsed="false">
      <c r="A46" s="16" t="s">
        <v>112</v>
      </c>
      <c r="B46" s="16" t="s">
        <v>75</v>
      </c>
      <c r="C46" s="17" t="s">
        <v>76</v>
      </c>
      <c r="D46" s="18" t="n">
        <v>46346</v>
      </c>
      <c r="E46" s="19" t="s">
        <v>70</v>
      </c>
      <c r="F46" s="16" t="s">
        <v>203</v>
      </c>
      <c r="G46" s="17" t="s">
        <v>204</v>
      </c>
      <c r="H46" s="18" t="n">
        <v>46304</v>
      </c>
      <c r="I46" s="19" t="s">
        <v>115</v>
      </c>
      <c r="J46" s="17" t="s">
        <v>207</v>
      </c>
      <c r="K46" s="20" t="s">
        <v>126</v>
      </c>
      <c r="L46" s="16" t="s">
        <v>118</v>
      </c>
      <c r="M46" s="20" t="n">
        <v>3</v>
      </c>
      <c r="N46" s="17" t="s">
        <v>208</v>
      </c>
      <c r="O46" s="19" t="s">
        <v>119</v>
      </c>
      <c r="P46" s="21"/>
    </row>
    <row r="47" customFormat="false" ht="64.15" hidden="false" customHeight="false" outlineLevel="0" collapsed="false">
      <c r="A47" s="16" t="s">
        <v>112</v>
      </c>
      <c r="B47" s="16" t="s">
        <v>75</v>
      </c>
      <c r="C47" s="17" t="s">
        <v>76</v>
      </c>
      <c r="D47" s="18" t="n">
        <v>46346</v>
      </c>
      <c r="E47" s="19" t="s">
        <v>70</v>
      </c>
      <c r="F47" s="16" t="s">
        <v>203</v>
      </c>
      <c r="G47" s="17" t="s">
        <v>204</v>
      </c>
      <c r="H47" s="18" t="n">
        <v>46304</v>
      </c>
      <c r="I47" s="19" t="s">
        <v>115</v>
      </c>
      <c r="J47" s="17" t="s">
        <v>209</v>
      </c>
      <c r="K47" s="20" t="s">
        <v>126</v>
      </c>
      <c r="L47" s="16" t="s">
        <v>118</v>
      </c>
      <c r="M47" s="20" t="n">
        <v>3</v>
      </c>
      <c r="N47" s="17" t="s">
        <v>210</v>
      </c>
      <c r="O47" s="19" t="s">
        <v>119</v>
      </c>
      <c r="P47" s="21"/>
    </row>
    <row r="48" customFormat="false" ht="64.15" hidden="false" customHeight="false" outlineLevel="0" collapsed="false">
      <c r="A48" s="16" t="s">
        <v>112</v>
      </c>
      <c r="B48" s="16" t="s">
        <v>75</v>
      </c>
      <c r="C48" s="17" t="s">
        <v>76</v>
      </c>
      <c r="D48" s="18" t="n">
        <v>46346</v>
      </c>
      <c r="E48" s="19" t="s">
        <v>70</v>
      </c>
      <c r="F48" s="16" t="s">
        <v>211</v>
      </c>
      <c r="G48" s="17" t="s">
        <v>212</v>
      </c>
      <c r="H48" s="18" t="n">
        <v>46318</v>
      </c>
      <c r="I48" s="19" t="s">
        <v>115</v>
      </c>
      <c r="J48" s="17" t="s">
        <v>213</v>
      </c>
      <c r="K48" s="20" t="s">
        <v>126</v>
      </c>
      <c r="L48" s="16" t="s">
        <v>118</v>
      </c>
      <c r="M48" s="20" t="n">
        <v>5</v>
      </c>
      <c r="N48" s="17" t="s">
        <v>214</v>
      </c>
      <c r="O48" s="19" t="s">
        <v>119</v>
      </c>
      <c r="P48" s="21"/>
    </row>
    <row r="49" customFormat="false" ht="64.15" hidden="false" customHeight="false" outlineLevel="0" collapsed="false">
      <c r="A49" s="16" t="s">
        <v>112</v>
      </c>
      <c r="B49" s="16" t="s">
        <v>75</v>
      </c>
      <c r="C49" s="17" t="s">
        <v>76</v>
      </c>
      <c r="D49" s="18" t="n">
        <v>46346</v>
      </c>
      <c r="E49" s="19" t="s">
        <v>70</v>
      </c>
      <c r="F49" s="16" t="s">
        <v>211</v>
      </c>
      <c r="G49" s="17" t="s">
        <v>212</v>
      </c>
      <c r="H49" s="18" t="n">
        <v>46318</v>
      </c>
      <c r="I49" s="19" t="s">
        <v>115</v>
      </c>
      <c r="J49" s="17" t="s">
        <v>215</v>
      </c>
      <c r="K49" s="20" t="s">
        <v>131</v>
      </c>
      <c r="L49" s="16" t="s">
        <v>118</v>
      </c>
      <c r="M49" s="20" t="n">
        <v>2</v>
      </c>
      <c r="N49" s="17" t="s">
        <v>216</v>
      </c>
      <c r="O49" s="19" t="s">
        <v>119</v>
      </c>
      <c r="P49" s="21"/>
    </row>
    <row r="50" customFormat="false" ht="64.15" hidden="false" customHeight="false" outlineLevel="0" collapsed="false">
      <c r="A50" s="16" t="s">
        <v>112</v>
      </c>
      <c r="B50" s="16" t="s">
        <v>75</v>
      </c>
      <c r="C50" s="17" t="s">
        <v>76</v>
      </c>
      <c r="D50" s="18" t="n">
        <v>46346</v>
      </c>
      <c r="E50" s="19" t="s">
        <v>70</v>
      </c>
      <c r="F50" s="16"/>
      <c r="G50" s="17"/>
      <c r="H50" s="18"/>
      <c r="I50" s="19"/>
      <c r="J50" s="17" t="s">
        <v>217</v>
      </c>
      <c r="K50" s="20" t="s">
        <v>196</v>
      </c>
      <c r="L50" s="16" t="s">
        <v>118</v>
      </c>
      <c r="M50" s="20" t="n">
        <v>2</v>
      </c>
      <c r="N50" s="17" t="s">
        <v>218</v>
      </c>
      <c r="O50" s="19" t="s">
        <v>119</v>
      </c>
      <c r="P50" s="21"/>
    </row>
    <row r="51" customFormat="false" ht="64.15" hidden="false" customHeight="false" outlineLevel="0" collapsed="false">
      <c r="A51" s="16" t="s">
        <v>112</v>
      </c>
      <c r="B51" s="16" t="s">
        <v>75</v>
      </c>
      <c r="C51" s="17" t="s">
        <v>76</v>
      </c>
      <c r="D51" s="18" t="n">
        <v>46346</v>
      </c>
      <c r="E51" s="19" t="s">
        <v>70</v>
      </c>
      <c r="F51" s="16"/>
      <c r="G51" s="17"/>
      <c r="H51" s="18"/>
      <c r="I51" s="19"/>
      <c r="J51" s="17" t="s">
        <v>219</v>
      </c>
      <c r="K51" s="20" t="s">
        <v>220</v>
      </c>
      <c r="L51" s="16" t="s">
        <v>118</v>
      </c>
      <c r="M51" s="20" t="n">
        <v>3</v>
      </c>
      <c r="N51" s="17" t="s">
        <v>221</v>
      </c>
      <c r="O51" s="19" t="s">
        <v>119</v>
      </c>
      <c r="P51" s="21"/>
    </row>
    <row r="52" customFormat="false" ht="32.8" hidden="false" customHeight="false" outlineLevel="0" collapsed="false">
      <c r="A52" s="16" t="s">
        <v>112</v>
      </c>
      <c r="B52" s="16" t="s">
        <v>78</v>
      </c>
      <c r="C52" s="17" t="s">
        <v>79</v>
      </c>
      <c r="D52" s="18" t="n">
        <v>46542</v>
      </c>
      <c r="E52" s="19" t="s">
        <v>70</v>
      </c>
      <c r="F52" s="16" t="s">
        <v>222</v>
      </c>
      <c r="G52" s="17" t="s">
        <v>223</v>
      </c>
      <c r="H52" s="18" t="n">
        <v>46304</v>
      </c>
      <c r="I52" s="19" t="s">
        <v>224</v>
      </c>
      <c r="J52" s="17" t="s">
        <v>225</v>
      </c>
      <c r="K52" s="20" t="s">
        <v>117</v>
      </c>
      <c r="L52" s="16" t="s">
        <v>118</v>
      </c>
      <c r="M52" s="20" t="n">
        <v>2</v>
      </c>
      <c r="N52" s="17"/>
      <c r="O52" s="19" t="s">
        <v>226</v>
      </c>
      <c r="P52" s="21"/>
    </row>
    <row r="53" customFormat="false" ht="32.8" hidden="false" customHeight="false" outlineLevel="0" collapsed="false">
      <c r="A53" s="16" t="s">
        <v>112</v>
      </c>
      <c r="B53" s="16" t="s">
        <v>78</v>
      </c>
      <c r="C53" s="17" t="s">
        <v>79</v>
      </c>
      <c r="D53" s="18" t="n">
        <v>46542</v>
      </c>
      <c r="E53" s="19" t="s">
        <v>70</v>
      </c>
      <c r="F53" s="16" t="s">
        <v>222</v>
      </c>
      <c r="G53" s="17" t="s">
        <v>223</v>
      </c>
      <c r="H53" s="18" t="n">
        <v>46304</v>
      </c>
      <c r="I53" s="19" t="s">
        <v>224</v>
      </c>
      <c r="J53" s="17" t="s">
        <v>227</v>
      </c>
      <c r="K53" s="20" t="s">
        <v>123</v>
      </c>
      <c r="L53" s="16" t="s">
        <v>118</v>
      </c>
      <c r="M53" s="20" t="n">
        <v>2</v>
      </c>
      <c r="N53" s="17" t="s">
        <v>228</v>
      </c>
      <c r="O53" s="19" t="s">
        <v>119</v>
      </c>
      <c r="P53" s="21"/>
    </row>
    <row r="54" customFormat="false" ht="32.8" hidden="false" customHeight="false" outlineLevel="0" collapsed="false">
      <c r="A54" s="16" t="s">
        <v>112</v>
      </c>
      <c r="B54" s="16" t="s">
        <v>78</v>
      </c>
      <c r="C54" s="17" t="s">
        <v>79</v>
      </c>
      <c r="D54" s="18" t="n">
        <v>46542</v>
      </c>
      <c r="E54" s="19" t="s">
        <v>70</v>
      </c>
      <c r="F54" s="16" t="s">
        <v>222</v>
      </c>
      <c r="G54" s="17" t="s">
        <v>223</v>
      </c>
      <c r="H54" s="18" t="n">
        <v>46304</v>
      </c>
      <c r="I54" s="19" t="s">
        <v>224</v>
      </c>
      <c r="J54" s="17" t="s">
        <v>229</v>
      </c>
      <c r="K54" s="20" t="s">
        <v>126</v>
      </c>
      <c r="L54" s="16" t="s">
        <v>118</v>
      </c>
      <c r="M54" s="20" t="n">
        <v>2</v>
      </c>
      <c r="N54" s="17" t="s">
        <v>230</v>
      </c>
      <c r="O54" s="19" t="s">
        <v>119</v>
      </c>
      <c r="P54" s="21"/>
    </row>
    <row r="55" customFormat="false" ht="43.25" hidden="false" customHeight="false" outlineLevel="0" collapsed="false">
      <c r="A55" s="16" t="s">
        <v>112</v>
      </c>
      <c r="B55" s="16" t="s">
        <v>78</v>
      </c>
      <c r="C55" s="17" t="s">
        <v>79</v>
      </c>
      <c r="D55" s="18" t="n">
        <v>46542</v>
      </c>
      <c r="E55" s="19" t="s">
        <v>70</v>
      </c>
      <c r="F55" s="16" t="s">
        <v>231</v>
      </c>
      <c r="G55" s="17" t="s">
        <v>232</v>
      </c>
      <c r="H55" s="18" t="n">
        <v>46276</v>
      </c>
      <c r="I55" s="19" t="s">
        <v>115</v>
      </c>
      <c r="J55" s="17" t="s">
        <v>233</v>
      </c>
      <c r="K55" s="20" t="s">
        <v>117</v>
      </c>
      <c r="L55" s="16" t="s">
        <v>118</v>
      </c>
      <c r="M55" s="20" t="n">
        <v>1</v>
      </c>
      <c r="N55" s="17"/>
      <c r="O55" s="19" t="s">
        <v>119</v>
      </c>
      <c r="P55" s="21"/>
    </row>
    <row r="56" customFormat="false" ht="43.25" hidden="false" customHeight="false" outlineLevel="0" collapsed="false">
      <c r="A56" s="16" t="s">
        <v>112</v>
      </c>
      <c r="B56" s="16" t="s">
        <v>78</v>
      </c>
      <c r="C56" s="17" t="s">
        <v>79</v>
      </c>
      <c r="D56" s="18" t="n">
        <v>46542</v>
      </c>
      <c r="E56" s="19" t="s">
        <v>70</v>
      </c>
      <c r="F56" s="16" t="s">
        <v>231</v>
      </c>
      <c r="G56" s="17" t="s">
        <v>232</v>
      </c>
      <c r="H56" s="18" t="n">
        <v>46276</v>
      </c>
      <c r="I56" s="19" t="s">
        <v>115</v>
      </c>
      <c r="J56" s="17" t="s">
        <v>234</v>
      </c>
      <c r="K56" s="20" t="s">
        <v>117</v>
      </c>
      <c r="L56" s="16" t="s">
        <v>118</v>
      </c>
      <c r="M56" s="20" t="n">
        <v>2</v>
      </c>
      <c r="N56" s="17" t="s">
        <v>235</v>
      </c>
      <c r="O56" s="19" t="s">
        <v>119</v>
      </c>
      <c r="P56" s="21"/>
    </row>
    <row r="57" customFormat="false" ht="43.25" hidden="false" customHeight="false" outlineLevel="0" collapsed="false">
      <c r="A57" s="16" t="s">
        <v>112</v>
      </c>
      <c r="B57" s="16" t="s">
        <v>78</v>
      </c>
      <c r="C57" s="17" t="s">
        <v>79</v>
      </c>
      <c r="D57" s="18" t="n">
        <v>46542</v>
      </c>
      <c r="E57" s="19" t="s">
        <v>70</v>
      </c>
      <c r="F57" s="16" t="s">
        <v>231</v>
      </c>
      <c r="G57" s="17" t="s">
        <v>232</v>
      </c>
      <c r="H57" s="18" t="n">
        <v>46276</v>
      </c>
      <c r="I57" s="19" t="s">
        <v>115</v>
      </c>
      <c r="J57" s="17" t="s">
        <v>236</v>
      </c>
      <c r="K57" s="20" t="s">
        <v>117</v>
      </c>
      <c r="L57" s="16" t="s">
        <v>118</v>
      </c>
      <c r="M57" s="20" t="n">
        <v>1</v>
      </c>
      <c r="N57" s="17" t="s">
        <v>237</v>
      </c>
      <c r="O57" s="19" t="s">
        <v>119</v>
      </c>
      <c r="P57" s="21"/>
    </row>
    <row r="58" customFormat="false" ht="43.25" hidden="false" customHeight="false" outlineLevel="0" collapsed="false">
      <c r="A58" s="16" t="s">
        <v>112</v>
      </c>
      <c r="B58" s="16" t="s">
        <v>78</v>
      </c>
      <c r="C58" s="17" t="s">
        <v>79</v>
      </c>
      <c r="D58" s="18" t="n">
        <v>46542</v>
      </c>
      <c r="E58" s="19" t="s">
        <v>70</v>
      </c>
      <c r="F58" s="16" t="s">
        <v>231</v>
      </c>
      <c r="G58" s="17" t="s">
        <v>232</v>
      </c>
      <c r="H58" s="18" t="n">
        <v>46276</v>
      </c>
      <c r="I58" s="19" t="s">
        <v>115</v>
      </c>
      <c r="J58" s="17" t="s">
        <v>238</v>
      </c>
      <c r="K58" s="20" t="s">
        <v>117</v>
      </c>
      <c r="L58" s="16" t="s">
        <v>118</v>
      </c>
      <c r="M58" s="20" t="n">
        <v>1</v>
      </c>
      <c r="N58" s="17"/>
      <c r="O58" s="19" t="s">
        <v>119</v>
      </c>
      <c r="P58" s="21"/>
    </row>
    <row r="59" customFormat="false" ht="43.25" hidden="false" customHeight="false" outlineLevel="0" collapsed="false">
      <c r="A59" s="16" t="s">
        <v>112</v>
      </c>
      <c r="B59" s="16" t="s">
        <v>78</v>
      </c>
      <c r="C59" s="17" t="s">
        <v>79</v>
      </c>
      <c r="D59" s="18" t="n">
        <v>46542</v>
      </c>
      <c r="E59" s="19" t="s">
        <v>70</v>
      </c>
      <c r="F59" s="16" t="s">
        <v>231</v>
      </c>
      <c r="G59" s="17" t="s">
        <v>232</v>
      </c>
      <c r="H59" s="18" t="n">
        <v>46276</v>
      </c>
      <c r="I59" s="19" t="s">
        <v>115</v>
      </c>
      <c r="J59" s="17" t="s">
        <v>239</v>
      </c>
      <c r="K59" s="20" t="s">
        <v>117</v>
      </c>
      <c r="L59" s="16" t="s">
        <v>118</v>
      </c>
      <c r="M59" s="20" t="n">
        <v>1</v>
      </c>
      <c r="N59" s="17" t="s">
        <v>240</v>
      </c>
      <c r="O59" s="19" t="s">
        <v>119</v>
      </c>
      <c r="P59" s="21"/>
    </row>
    <row r="60" customFormat="false" ht="32.8" hidden="false" customHeight="false" outlineLevel="0" collapsed="false">
      <c r="A60" s="16" t="s">
        <v>112</v>
      </c>
      <c r="B60" s="16" t="s">
        <v>78</v>
      </c>
      <c r="C60" s="17" t="s">
        <v>79</v>
      </c>
      <c r="D60" s="18" t="n">
        <v>46542</v>
      </c>
      <c r="E60" s="19" t="s">
        <v>70</v>
      </c>
      <c r="F60" s="16" t="s">
        <v>241</v>
      </c>
      <c r="G60" s="17" t="s">
        <v>242</v>
      </c>
      <c r="H60" s="18" t="n">
        <v>46304</v>
      </c>
      <c r="I60" s="19" t="s">
        <v>115</v>
      </c>
      <c r="J60" s="17" t="s">
        <v>243</v>
      </c>
      <c r="K60" s="20" t="s">
        <v>117</v>
      </c>
      <c r="L60" s="16" t="s">
        <v>118</v>
      </c>
      <c r="M60" s="20" t="n">
        <v>2</v>
      </c>
      <c r="N60" s="17" t="s">
        <v>244</v>
      </c>
      <c r="O60" s="19" t="s">
        <v>119</v>
      </c>
      <c r="P60" s="21"/>
    </row>
    <row r="61" customFormat="false" ht="32.8" hidden="false" customHeight="false" outlineLevel="0" collapsed="false">
      <c r="A61" s="16" t="s">
        <v>112</v>
      </c>
      <c r="B61" s="16" t="s">
        <v>78</v>
      </c>
      <c r="C61" s="17" t="s">
        <v>79</v>
      </c>
      <c r="D61" s="18" t="n">
        <v>46542</v>
      </c>
      <c r="E61" s="19" t="s">
        <v>70</v>
      </c>
      <c r="F61" s="16" t="s">
        <v>241</v>
      </c>
      <c r="G61" s="17" t="s">
        <v>242</v>
      </c>
      <c r="H61" s="18" t="n">
        <v>46304</v>
      </c>
      <c r="I61" s="19" t="s">
        <v>115</v>
      </c>
      <c r="J61" s="17" t="s">
        <v>245</v>
      </c>
      <c r="K61" s="20" t="s">
        <v>126</v>
      </c>
      <c r="L61" s="16" t="s">
        <v>118</v>
      </c>
      <c r="M61" s="20" t="n">
        <v>3</v>
      </c>
      <c r="N61" s="17" t="s">
        <v>171</v>
      </c>
      <c r="O61" s="19" t="s">
        <v>119</v>
      </c>
      <c r="P61" s="21"/>
    </row>
    <row r="62" customFormat="false" ht="32.8" hidden="false" customHeight="false" outlineLevel="0" collapsed="false">
      <c r="A62" s="16" t="s">
        <v>112</v>
      </c>
      <c r="B62" s="16" t="s">
        <v>78</v>
      </c>
      <c r="C62" s="17" t="s">
        <v>79</v>
      </c>
      <c r="D62" s="18" t="n">
        <v>46542</v>
      </c>
      <c r="E62" s="19" t="s">
        <v>70</v>
      </c>
      <c r="F62" s="16" t="s">
        <v>246</v>
      </c>
      <c r="G62" s="17" t="s">
        <v>247</v>
      </c>
      <c r="H62" s="18" t="n">
        <v>46318</v>
      </c>
      <c r="I62" s="19" t="s">
        <v>115</v>
      </c>
      <c r="J62" s="17" t="s">
        <v>248</v>
      </c>
      <c r="K62" s="20" t="s">
        <v>131</v>
      </c>
      <c r="L62" s="16" t="s">
        <v>118</v>
      </c>
      <c r="M62" s="20" t="n">
        <v>4</v>
      </c>
      <c r="N62" s="17" t="s">
        <v>249</v>
      </c>
      <c r="O62" s="19" t="s">
        <v>119</v>
      </c>
      <c r="P62" s="21"/>
    </row>
    <row r="63" customFormat="false" ht="32.8" hidden="false" customHeight="false" outlineLevel="0" collapsed="false">
      <c r="A63" s="16" t="s">
        <v>112</v>
      </c>
      <c r="B63" s="16" t="s">
        <v>78</v>
      </c>
      <c r="C63" s="17" t="s">
        <v>79</v>
      </c>
      <c r="D63" s="18" t="n">
        <v>46542</v>
      </c>
      <c r="E63" s="19" t="s">
        <v>70</v>
      </c>
      <c r="F63" s="16" t="s">
        <v>246</v>
      </c>
      <c r="G63" s="17" t="s">
        <v>247</v>
      </c>
      <c r="H63" s="18" t="n">
        <v>46318</v>
      </c>
      <c r="I63" s="19" t="s">
        <v>115</v>
      </c>
      <c r="J63" s="17" t="s">
        <v>250</v>
      </c>
      <c r="K63" s="20" t="s">
        <v>131</v>
      </c>
      <c r="L63" s="16" t="s">
        <v>118</v>
      </c>
      <c r="M63" s="20" t="n">
        <v>2</v>
      </c>
      <c r="N63" s="17" t="s">
        <v>251</v>
      </c>
      <c r="O63" s="19" t="s">
        <v>119</v>
      </c>
      <c r="P63" s="21"/>
    </row>
    <row r="64" customFormat="false" ht="32.8" hidden="false" customHeight="false" outlineLevel="0" collapsed="false">
      <c r="A64" s="16" t="s">
        <v>112</v>
      </c>
      <c r="B64" s="16" t="s">
        <v>78</v>
      </c>
      <c r="C64" s="17" t="s">
        <v>79</v>
      </c>
      <c r="D64" s="18" t="n">
        <v>46542</v>
      </c>
      <c r="E64" s="19" t="s">
        <v>70</v>
      </c>
      <c r="F64" s="16" t="s">
        <v>246</v>
      </c>
      <c r="G64" s="17" t="s">
        <v>247</v>
      </c>
      <c r="H64" s="18" t="n">
        <v>46318</v>
      </c>
      <c r="I64" s="19" t="s">
        <v>115</v>
      </c>
      <c r="J64" s="17" t="s">
        <v>252</v>
      </c>
      <c r="K64" s="20" t="s">
        <v>131</v>
      </c>
      <c r="L64" s="16" t="s">
        <v>118</v>
      </c>
      <c r="M64" s="20" t="n">
        <v>1</v>
      </c>
      <c r="N64" s="17" t="s">
        <v>253</v>
      </c>
      <c r="O64" s="19" t="s">
        <v>119</v>
      </c>
      <c r="P64" s="21"/>
    </row>
    <row r="65" customFormat="false" ht="32.8" hidden="false" customHeight="false" outlineLevel="0" collapsed="false">
      <c r="A65" s="16" t="s">
        <v>112</v>
      </c>
      <c r="B65" s="16" t="s">
        <v>78</v>
      </c>
      <c r="C65" s="17" t="s">
        <v>79</v>
      </c>
      <c r="D65" s="18" t="n">
        <v>46542</v>
      </c>
      <c r="E65" s="19" t="s">
        <v>70</v>
      </c>
      <c r="F65" s="16" t="s">
        <v>246</v>
      </c>
      <c r="G65" s="17" t="s">
        <v>247</v>
      </c>
      <c r="H65" s="18" t="n">
        <v>46318</v>
      </c>
      <c r="I65" s="19" t="s">
        <v>115</v>
      </c>
      <c r="J65" s="17" t="s">
        <v>254</v>
      </c>
      <c r="K65" s="20" t="s">
        <v>131</v>
      </c>
      <c r="L65" s="16" t="s">
        <v>118</v>
      </c>
      <c r="M65" s="20" t="n">
        <v>2</v>
      </c>
      <c r="N65" s="17"/>
      <c r="O65" s="19" t="s">
        <v>119</v>
      </c>
      <c r="P65" s="21"/>
    </row>
    <row r="66" customFormat="false" ht="32.8" hidden="false" customHeight="false" outlineLevel="0" collapsed="false">
      <c r="A66" s="16" t="s">
        <v>112</v>
      </c>
      <c r="B66" s="16" t="s">
        <v>78</v>
      </c>
      <c r="C66" s="17" t="s">
        <v>79</v>
      </c>
      <c r="D66" s="18" t="n">
        <v>46542</v>
      </c>
      <c r="E66" s="19" t="s">
        <v>70</v>
      </c>
      <c r="F66" s="16" t="s">
        <v>255</v>
      </c>
      <c r="G66" s="17" t="s">
        <v>256</v>
      </c>
      <c r="H66" s="18" t="n">
        <v>46374</v>
      </c>
      <c r="I66" s="19" t="s">
        <v>115</v>
      </c>
      <c r="J66" s="17" t="s">
        <v>257</v>
      </c>
      <c r="K66" s="20" t="s">
        <v>196</v>
      </c>
      <c r="L66" s="16" t="s">
        <v>118</v>
      </c>
      <c r="M66" s="20" t="n">
        <v>2</v>
      </c>
      <c r="N66" s="17" t="s">
        <v>258</v>
      </c>
      <c r="O66" s="19" t="s">
        <v>119</v>
      </c>
      <c r="P66" s="21"/>
    </row>
    <row r="67" customFormat="false" ht="32.8" hidden="false" customHeight="false" outlineLevel="0" collapsed="false">
      <c r="A67" s="16" t="s">
        <v>112</v>
      </c>
      <c r="B67" s="16" t="s">
        <v>78</v>
      </c>
      <c r="C67" s="17" t="s">
        <v>79</v>
      </c>
      <c r="D67" s="18" t="n">
        <v>46542</v>
      </c>
      <c r="E67" s="19" t="s">
        <v>70</v>
      </c>
      <c r="F67" s="16" t="s">
        <v>255</v>
      </c>
      <c r="G67" s="17" t="s">
        <v>256</v>
      </c>
      <c r="H67" s="18" t="n">
        <v>46374</v>
      </c>
      <c r="I67" s="19" t="s">
        <v>115</v>
      </c>
      <c r="J67" s="17" t="s">
        <v>259</v>
      </c>
      <c r="K67" s="20" t="s">
        <v>196</v>
      </c>
      <c r="L67" s="16" t="s">
        <v>118</v>
      </c>
      <c r="M67" s="20" t="n">
        <v>1</v>
      </c>
      <c r="N67" s="17"/>
      <c r="O67" s="19" t="s">
        <v>119</v>
      </c>
      <c r="P67" s="21"/>
    </row>
    <row r="68" customFormat="false" ht="32.8" hidden="false" customHeight="false" outlineLevel="0" collapsed="false">
      <c r="A68" s="16" t="s">
        <v>112</v>
      </c>
      <c r="B68" s="16" t="s">
        <v>78</v>
      </c>
      <c r="C68" s="17" t="s">
        <v>79</v>
      </c>
      <c r="D68" s="18" t="n">
        <v>46542</v>
      </c>
      <c r="E68" s="19" t="s">
        <v>70</v>
      </c>
      <c r="F68" s="16" t="s">
        <v>255</v>
      </c>
      <c r="G68" s="17" t="s">
        <v>256</v>
      </c>
      <c r="H68" s="18" t="n">
        <v>46374</v>
      </c>
      <c r="I68" s="19" t="s">
        <v>115</v>
      </c>
      <c r="J68" s="17" t="s">
        <v>260</v>
      </c>
      <c r="K68" s="20" t="s">
        <v>261</v>
      </c>
      <c r="L68" s="16" t="s">
        <v>118</v>
      </c>
      <c r="M68" s="20" t="n">
        <v>1</v>
      </c>
      <c r="N68" s="17" t="s">
        <v>262</v>
      </c>
      <c r="O68" s="19" t="s">
        <v>119</v>
      </c>
      <c r="P68" s="21"/>
    </row>
    <row r="69" customFormat="false" ht="32.8" hidden="false" customHeight="false" outlineLevel="0" collapsed="false">
      <c r="A69" s="16" t="s">
        <v>112</v>
      </c>
      <c r="B69" s="16" t="s">
        <v>78</v>
      </c>
      <c r="C69" s="17" t="s">
        <v>79</v>
      </c>
      <c r="D69" s="18" t="n">
        <v>46542</v>
      </c>
      <c r="E69" s="19" t="s">
        <v>70</v>
      </c>
      <c r="F69" s="16" t="s">
        <v>263</v>
      </c>
      <c r="G69" s="17" t="s">
        <v>264</v>
      </c>
      <c r="H69" s="18" t="n">
        <v>46430</v>
      </c>
      <c r="I69" s="19" t="s">
        <v>115</v>
      </c>
      <c r="J69" s="17" t="s">
        <v>265</v>
      </c>
      <c r="K69" s="20" t="s">
        <v>266</v>
      </c>
      <c r="L69" s="16" t="s">
        <v>118</v>
      </c>
      <c r="M69" s="20" t="n">
        <v>3</v>
      </c>
      <c r="N69" s="17" t="s">
        <v>267</v>
      </c>
      <c r="O69" s="19" t="s">
        <v>119</v>
      </c>
      <c r="P69" s="21"/>
    </row>
    <row r="70" customFormat="false" ht="32.8" hidden="false" customHeight="false" outlineLevel="0" collapsed="false">
      <c r="A70" s="16" t="s">
        <v>112</v>
      </c>
      <c r="B70" s="16" t="s">
        <v>78</v>
      </c>
      <c r="C70" s="17" t="s">
        <v>79</v>
      </c>
      <c r="D70" s="18" t="n">
        <v>46542</v>
      </c>
      <c r="E70" s="19" t="s">
        <v>70</v>
      </c>
      <c r="F70" s="16" t="s">
        <v>263</v>
      </c>
      <c r="G70" s="17" t="s">
        <v>264</v>
      </c>
      <c r="H70" s="18" t="n">
        <v>46430</v>
      </c>
      <c r="I70" s="19" t="s">
        <v>115</v>
      </c>
      <c r="J70" s="17" t="s">
        <v>268</v>
      </c>
      <c r="K70" s="20" t="s">
        <v>266</v>
      </c>
      <c r="L70" s="16" t="s">
        <v>118</v>
      </c>
      <c r="M70" s="20" t="n">
        <v>5</v>
      </c>
      <c r="N70" s="17" t="s">
        <v>269</v>
      </c>
      <c r="O70" s="19" t="s">
        <v>119</v>
      </c>
      <c r="P70" s="21"/>
    </row>
    <row r="71" customFormat="false" ht="32.8" hidden="false" customHeight="false" outlineLevel="0" collapsed="false">
      <c r="A71" s="16" t="s">
        <v>112</v>
      </c>
      <c r="B71" s="16" t="s">
        <v>78</v>
      </c>
      <c r="C71" s="17" t="s">
        <v>79</v>
      </c>
      <c r="D71" s="18" t="n">
        <v>46542</v>
      </c>
      <c r="E71" s="19" t="s">
        <v>70</v>
      </c>
      <c r="F71" s="16" t="s">
        <v>263</v>
      </c>
      <c r="G71" s="17" t="s">
        <v>264</v>
      </c>
      <c r="H71" s="18" t="n">
        <v>46430</v>
      </c>
      <c r="I71" s="19" t="s">
        <v>115</v>
      </c>
      <c r="J71" s="17" t="s">
        <v>270</v>
      </c>
      <c r="K71" s="20" t="s">
        <v>271</v>
      </c>
      <c r="L71" s="16" t="s">
        <v>118</v>
      </c>
      <c r="M71" s="20" t="n">
        <v>5</v>
      </c>
      <c r="N71" s="17" t="s">
        <v>263</v>
      </c>
      <c r="O71" s="19" t="s">
        <v>119</v>
      </c>
      <c r="P71" s="21"/>
    </row>
    <row r="72" customFormat="false" ht="32.8" hidden="false" customHeight="false" outlineLevel="0" collapsed="false">
      <c r="A72" s="16" t="s">
        <v>112</v>
      </c>
      <c r="B72" s="16" t="s">
        <v>78</v>
      </c>
      <c r="C72" s="17" t="s">
        <v>79</v>
      </c>
      <c r="D72" s="18" t="n">
        <v>46542</v>
      </c>
      <c r="E72" s="19" t="s">
        <v>70</v>
      </c>
      <c r="F72" s="16" t="s">
        <v>272</v>
      </c>
      <c r="G72" s="17" t="s">
        <v>273</v>
      </c>
      <c r="H72" s="18" t="n">
        <v>46542</v>
      </c>
      <c r="I72" s="19" t="s">
        <v>115</v>
      </c>
      <c r="J72" s="17" t="s">
        <v>274</v>
      </c>
      <c r="K72" s="20" t="s">
        <v>271</v>
      </c>
      <c r="L72" s="16" t="s">
        <v>118</v>
      </c>
      <c r="M72" s="20" t="n">
        <v>4</v>
      </c>
      <c r="N72" s="17" t="s">
        <v>275</v>
      </c>
      <c r="O72" s="19" t="s">
        <v>119</v>
      </c>
      <c r="P72" s="21"/>
    </row>
    <row r="73" customFormat="false" ht="32.8" hidden="false" customHeight="false" outlineLevel="0" collapsed="false">
      <c r="A73" s="16" t="s">
        <v>112</v>
      </c>
      <c r="B73" s="16" t="s">
        <v>78</v>
      </c>
      <c r="C73" s="17" t="s">
        <v>79</v>
      </c>
      <c r="D73" s="18" t="n">
        <v>46542</v>
      </c>
      <c r="E73" s="19" t="s">
        <v>70</v>
      </c>
      <c r="F73" s="16" t="s">
        <v>272</v>
      </c>
      <c r="G73" s="17" t="s">
        <v>273</v>
      </c>
      <c r="H73" s="18" t="n">
        <v>46542</v>
      </c>
      <c r="I73" s="19" t="s">
        <v>115</v>
      </c>
      <c r="J73" s="17" t="s">
        <v>276</v>
      </c>
      <c r="K73" s="20" t="s">
        <v>277</v>
      </c>
      <c r="L73" s="16" t="s">
        <v>118</v>
      </c>
      <c r="M73" s="20" t="n">
        <v>2</v>
      </c>
      <c r="N73" s="17" t="s">
        <v>278</v>
      </c>
      <c r="O73" s="19" t="s">
        <v>119</v>
      </c>
      <c r="P73" s="21"/>
    </row>
    <row r="74" customFormat="false" ht="32.8" hidden="false" customHeight="false" outlineLevel="0" collapsed="false">
      <c r="A74" s="22" t="s">
        <v>112</v>
      </c>
      <c r="B74" s="22" t="s">
        <v>81</v>
      </c>
      <c r="C74" s="17" t="s">
        <v>82</v>
      </c>
      <c r="D74" s="18" t="n">
        <v>46444</v>
      </c>
      <c r="E74" s="19" t="s">
        <v>70</v>
      </c>
      <c r="F74" s="22" t="s">
        <v>279</v>
      </c>
      <c r="G74" s="17" t="s">
        <v>280</v>
      </c>
      <c r="H74" s="18" t="n">
        <v>46290</v>
      </c>
      <c r="I74" s="19" t="s">
        <v>224</v>
      </c>
      <c r="J74" s="23" t="s">
        <v>281</v>
      </c>
      <c r="K74" s="20" t="s">
        <v>141</v>
      </c>
      <c r="L74" s="16" t="s">
        <v>118</v>
      </c>
      <c r="M74" s="20" t="n">
        <v>2</v>
      </c>
      <c r="N74" s="17"/>
      <c r="O74" s="19" t="s">
        <v>142</v>
      </c>
      <c r="P74" s="21"/>
    </row>
    <row r="75" customFormat="false" ht="32.8" hidden="false" customHeight="false" outlineLevel="0" collapsed="false">
      <c r="A75" s="22" t="s">
        <v>112</v>
      </c>
      <c r="B75" s="22" t="s">
        <v>81</v>
      </c>
      <c r="C75" s="17" t="s">
        <v>82</v>
      </c>
      <c r="D75" s="18" t="n">
        <v>46444</v>
      </c>
      <c r="E75" s="19" t="s">
        <v>70</v>
      </c>
      <c r="F75" s="22" t="s">
        <v>279</v>
      </c>
      <c r="G75" s="17" t="s">
        <v>280</v>
      </c>
      <c r="H75" s="18" t="n">
        <v>46290</v>
      </c>
      <c r="I75" s="19" t="s">
        <v>224</v>
      </c>
      <c r="J75" s="23" t="s">
        <v>282</v>
      </c>
      <c r="K75" s="20" t="s">
        <v>145</v>
      </c>
      <c r="L75" s="16" t="s">
        <v>118</v>
      </c>
      <c r="M75" s="20" t="n">
        <v>2</v>
      </c>
      <c r="N75" s="17" t="s">
        <v>283</v>
      </c>
      <c r="O75" s="19" t="s">
        <v>142</v>
      </c>
      <c r="P75" s="21"/>
    </row>
    <row r="76" customFormat="false" ht="32.8" hidden="false" customHeight="false" outlineLevel="0" collapsed="false">
      <c r="A76" s="16" t="s">
        <v>112</v>
      </c>
      <c r="B76" s="16" t="s">
        <v>81</v>
      </c>
      <c r="C76" s="17" t="s">
        <v>82</v>
      </c>
      <c r="D76" s="18" t="n">
        <v>46444</v>
      </c>
      <c r="E76" s="19" t="s">
        <v>70</v>
      </c>
      <c r="F76" s="16" t="s">
        <v>279</v>
      </c>
      <c r="G76" s="17" t="s">
        <v>280</v>
      </c>
      <c r="H76" s="18" t="n">
        <v>46290</v>
      </c>
      <c r="I76" s="19" t="s">
        <v>224</v>
      </c>
      <c r="J76" s="17" t="s">
        <v>284</v>
      </c>
      <c r="K76" s="20" t="s">
        <v>117</v>
      </c>
      <c r="L76" s="16" t="s">
        <v>118</v>
      </c>
      <c r="M76" s="20" t="n">
        <v>2</v>
      </c>
      <c r="N76" s="17" t="s">
        <v>285</v>
      </c>
      <c r="O76" s="19" t="s">
        <v>226</v>
      </c>
      <c r="P76" s="21"/>
    </row>
    <row r="77" customFormat="false" ht="32.8" hidden="false" customHeight="false" outlineLevel="0" collapsed="false">
      <c r="A77" s="16" t="s">
        <v>112</v>
      </c>
      <c r="B77" s="16" t="s">
        <v>81</v>
      </c>
      <c r="C77" s="17" t="s">
        <v>82</v>
      </c>
      <c r="D77" s="18" t="n">
        <v>46444</v>
      </c>
      <c r="E77" s="19" t="s">
        <v>70</v>
      </c>
      <c r="F77" s="16" t="s">
        <v>279</v>
      </c>
      <c r="G77" s="17" t="s">
        <v>280</v>
      </c>
      <c r="H77" s="18" t="n">
        <v>46290</v>
      </c>
      <c r="I77" s="19" t="s">
        <v>224</v>
      </c>
      <c r="J77" s="17" t="s">
        <v>286</v>
      </c>
      <c r="K77" s="20" t="s">
        <v>117</v>
      </c>
      <c r="L77" s="16" t="s">
        <v>118</v>
      </c>
      <c r="M77" s="20" t="n">
        <v>4</v>
      </c>
      <c r="N77" s="17" t="s">
        <v>287</v>
      </c>
      <c r="O77" s="19" t="s">
        <v>119</v>
      </c>
      <c r="P77" s="21"/>
    </row>
    <row r="78" customFormat="false" ht="32.8" hidden="false" customHeight="false" outlineLevel="0" collapsed="false">
      <c r="A78" s="16" t="s">
        <v>112</v>
      </c>
      <c r="B78" s="16" t="s">
        <v>81</v>
      </c>
      <c r="C78" s="17" t="s">
        <v>82</v>
      </c>
      <c r="D78" s="18" t="n">
        <v>46444</v>
      </c>
      <c r="E78" s="19" t="s">
        <v>70</v>
      </c>
      <c r="F78" s="16" t="s">
        <v>279</v>
      </c>
      <c r="G78" s="17" t="s">
        <v>280</v>
      </c>
      <c r="H78" s="18" t="n">
        <v>46290</v>
      </c>
      <c r="I78" s="19" t="s">
        <v>224</v>
      </c>
      <c r="J78" s="17" t="s">
        <v>288</v>
      </c>
      <c r="K78" s="20" t="s">
        <v>123</v>
      </c>
      <c r="L78" s="16" t="s">
        <v>118</v>
      </c>
      <c r="M78" s="20" t="n">
        <v>3</v>
      </c>
      <c r="N78" s="17" t="s">
        <v>289</v>
      </c>
      <c r="O78" s="19" t="s">
        <v>119</v>
      </c>
      <c r="P78" s="21"/>
    </row>
    <row r="79" customFormat="false" ht="32.8" hidden="false" customHeight="false" outlineLevel="0" collapsed="false">
      <c r="A79" s="16" t="s">
        <v>112</v>
      </c>
      <c r="B79" s="16" t="s">
        <v>81</v>
      </c>
      <c r="C79" s="17" t="s">
        <v>82</v>
      </c>
      <c r="D79" s="18" t="n">
        <v>46444</v>
      </c>
      <c r="E79" s="19" t="s">
        <v>70</v>
      </c>
      <c r="F79" s="16" t="s">
        <v>279</v>
      </c>
      <c r="G79" s="17" t="s">
        <v>280</v>
      </c>
      <c r="H79" s="18" t="n">
        <v>46290</v>
      </c>
      <c r="I79" s="19" t="s">
        <v>224</v>
      </c>
      <c r="J79" s="17" t="s">
        <v>290</v>
      </c>
      <c r="K79" s="20" t="s">
        <v>123</v>
      </c>
      <c r="L79" s="16" t="s">
        <v>118</v>
      </c>
      <c r="M79" s="20" t="n">
        <v>1</v>
      </c>
      <c r="N79" s="17" t="s">
        <v>291</v>
      </c>
      <c r="O79" s="19" t="s">
        <v>119</v>
      </c>
      <c r="P79" s="21"/>
    </row>
    <row r="80" customFormat="false" ht="32.8" hidden="false" customHeight="false" outlineLevel="0" collapsed="false">
      <c r="A80" s="16" t="s">
        <v>112</v>
      </c>
      <c r="B80" s="16" t="s">
        <v>81</v>
      </c>
      <c r="C80" s="17" t="s">
        <v>82</v>
      </c>
      <c r="D80" s="18" t="n">
        <v>46444</v>
      </c>
      <c r="E80" s="19" t="s">
        <v>70</v>
      </c>
      <c r="F80" s="16" t="s">
        <v>279</v>
      </c>
      <c r="G80" s="17" t="s">
        <v>280</v>
      </c>
      <c r="H80" s="18" t="n">
        <v>46290</v>
      </c>
      <c r="I80" s="19" t="s">
        <v>224</v>
      </c>
      <c r="J80" s="17" t="s">
        <v>292</v>
      </c>
      <c r="K80" s="20" t="s">
        <v>123</v>
      </c>
      <c r="L80" s="16" t="s">
        <v>118</v>
      </c>
      <c r="M80" s="20" t="n">
        <v>1</v>
      </c>
      <c r="N80" s="17" t="s">
        <v>293</v>
      </c>
      <c r="O80" s="19" t="s">
        <v>119</v>
      </c>
      <c r="P80" s="21"/>
    </row>
    <row r="81" customFormat="false" ht="32.8" hidden="false" customHeight="false" outlineLevel="0" collapsed="false">
      <c r="A81" s="16" t="s">
        <v>112</v>
      </c>
      <c r="B81" s="16" t="s">
        <v>81</v>
      </c>
      <c r="C81" s="17" t="s">
        <v>82</v>
      </c>
      <c r="D81" s="18" t="n">
        <v>46444</v>
      </c>
      <c r="E81" s="19" t="s">
        <v>70</v>
      </c>
      <c r="F81" s="16" t="s">
        <v>294</v>
      </c>
      <c r="G81" s="17" t="s">
        <v>295</v>
      </c>
      <c r="H81" s="18" t="n">
        <v>46332</v>
      </c>
      <c r="I81" s="19" t="s">
        <v>115</v>
      </c>
      <c r="J81" s="17" t="s">
        <v>296</v>
      </c>
      <c r="K81" s="20" t="s">
        <v>117</v>
      </c>
      <c r="L81" s="16" t="s">
        <v>118</v>
      </c>
      <c r="M81" s="20" t="n">
        <v>1</v>
      </c>
      <c r="N81" s="17"/>
      <c r="O81" s="19" t="s">
        <v>119</v>
      </c>
      <c r="P81" s="21"/>
    </row>
    <row r="82" customFormat="false" ht="32.8" hidden="false" customHeight="false" outlineLevel="0" collapsed="false">
      <c r="A82" s="16" t="s">
        <v>112</v>
      </c>
      <c r="B82" s="16" t="s">
        <v>81</v>
      </c>
      <c r="C82" s="17" t="s">
        <v>82</v>
      </c>
      <c r="D82" s="18" t="n">
        <v>46444</v>
      </c>
      <c r="E82" s="19" t="s">
        <v>70</v>
      </c>
      <c r="F82" s="16" t="s">
        <v>294</v>
      </c>
      <c r="G82" s="17" t="s">
        <v>295</v>
      </c>
      <c r="H82" s="18" t="n">
        <v>46332</v>
      </c>
      <c r="I82" s="19" t="s">
        <v>115</v>
      </c>
      <c r="J82" s="17" t="s">
        <v>297</v>
      </c>
      <c r="K82" s="20" t="s">
        <v>123</v>
      </c>
      <c r="L82" s="16" t="s">
        <v>118</v>
      </c>
      <c r="M82" s="20" t="n">
        <v>3</v>
      </c>
      <c r="N82" s="17" t="s">
        <v>291</v>
      </c>
      <c r="O82" s="19" t="s">
        <v>119</v>
      </c>
      <c r="P82" s="21"/>
    </row>
    <row r="83" customFormat="false" ht="32.8" hidden="false" customHeight="false" outlineLevel="0" collapsed="false">
      <c r="A83" s="16" t="s">
        <v>112</v>
      </c>
      <c r="B83" s="16" t="s">
        <v>81</v>
      </c>
      <c r="C83" s="17" t="s">
        <v>82</v>
      </c>
      <c r="D83" s="18" t="n">
        <v>46444</v>
      </c>
      <c r="E83" s="19" t="s">
        <v>70</v>
      </c>
      <c r="F83" s="16" t="s">
        <v>294</v>
      </c>
      <c r="G83" s="17" t="s">
        <v>295</v>
      </c>
      <c r="H83" s="18" t="n">
        <v>46332</v>
      </c>
      <c r="I83" s="19" t="s">
        <v>115</v>
      </c>
      <c r="J83" s="17" t="s">
        <v>298</v>
      </c>
      <c r="K83" s="20" t="s">
        <v>126</v>
      </c>
      <c r="L83" s="16" t="s">
        <v>118</v>
      </c>
      <c r="M83" s="20" t="n">
        <v>5</v>
      </c>
      <c r="N83" s="17" t="s">
        <v>299</v>
      </c>
      <c r="O83" s="19" t="s">
        <v>119</v>
      </c>
      <c r="P83" s="21"/>
    </row>
    <row r="84" customFormat="false" ht="32.8" hidden="false" customHeight="false" outlineLevel="0" collapsed="false">
      <c r="A84" s="16" t="s">
        <v>112</v>
      </c>
      <c r="B84" s="16" t="s">
        <v>81</v>
      </c>
      <c r="C84" s="17" t="s">
        <v>82</v>
      </c>
      <c r="D84" s="18" t="n">
        <v>46444</v>
      </c>
      <c r="E84" s="19" t="s">
        <v>70</v>
      </c>
      <c r="F84" s="16" t="s">
        <v>294</v>
      </c>
      <c r="G84" s="17" t="s">
        <v>295</v>
      </c>
      <c r="H84" s="18" t="n">
        <v>46332</v>
      </c>
      <c r="I84" s="19" t="s">
        <v>115</v>
      </c>
      <c r="J84" s="17" t="s">
        <v>300</v>
      </c>
      <c r="K84" s="20" t="s">
        <v>131</v>
      </c>
      <c r="L84" s="16" t="s">
        <v>118</v>
      </c>
      <c r="M84" s="20" t="n">
        <v>2</v>
      </c>
      <c r="N84" s="17" t="s">
        <v>301</v>
      </c>
      <c r="O84" s="19" t="s">
        <v>119</v>
      </c>
      <c r="P84" s="21"/>
    </row>
    <row r="85" customFormat="false" ht="32.8" hidden="false" customHeight="false" outlineLevel="0" collapsed="false">
      <c r="A85" s="16" t="s">
        <v>112</v>
      </c>
      <c r="B85" s="16" t="s">
        <v>81</v>
      </c>
      <c r="C85" s="17" t="s">
        <v>82</v>
      </c>
      <c r="D85" s="18" t="n">
        <v>46444</v>
      </c>
      <c r="E85" s="19" t="s">
        <v>70</v>
      </c>
      <c r="F85" s="16" t="s">
        <v>294</v>
      </c>
      <c r="G85" s="17" t="s">
        <v>295</v>
      </c>
      <c r="H85" s="18" t="n">
        <v>46332</v>
      </c>
      <c r="I85" s="19" t="s">
        <v>115</v>
      </c>
      <c r="J85" s="17" t="s">
        <v>302</v>
      </c>
      <c r="K85" s="20" t="s">
        <v>131</v>
      </c>
      <c r="L85" s="16" t="s">
        <v>118</v>
      </c>
      <c r="M85" s="20" t="n">
        <v>3</v>
      </c>
      <c r="N85" s="17" t="s">
        <v>303</v>
      </c>
      <c r="O85" s="19" t="s">
        <v>119</v>
      </c>
      <c r="P85" s="21"/>
    </row>
    <row r="86" customFormat="false" ht="32.8" hidden="false" customHeight="false" outlineLevel="0" collapsed="false">
      <c r="A86" s="16" t="s">
        <v>112</v>
      </c>
      <c r="B86" s="16" t="s">
        <v>81</v>
      </c>
      <c r="C86" s="17" t="s">
        <v>82</v>
      </c>
      <c r="D86" s="18" t="n">
        <v>46444</v>
      </c>
      <c r="E86" s="19" t="s">
        <v>70</v>
      </c>
      <c r="F86" s="16" t="s">
        <v>294</v>
      </c>
      <c r="G86" s="17" t="s">
        <v>295</v>
      </c>
      <c r="H86" s="18" t="n">
        <v>46332</v>
      </c>
      <c r="I86" s="19" t="s">
        <v>115</v>
      </c>
      <c r="J86" s="17" t="s">
        <v>304</v>
      </c>
      <c r="K86" s="20" t="s">
        <v>196</v>
      </c>
      <c r="L86" s="16" t="s">
        <v>118</v>
      </c>
      <c r="M86" s="20" t="n">
        <v>2</v>
      </c>
      <c r="N86" s="17" t="s">
        <v>305</v>
      </c>
      <c r="O86" s="19" t="s">
        <v>119</v>
      </c>
      <c r="P86" s="21"/>
    </row>
    <row r="87" customFormat="false" ht="32.8" hidden="false" customHeight="false" outlineLevel="0" collapsed="false">
      <c r="A87" s="16" t="s">
        <v>112</v>
      </c>
      <c r="B87" s="16" t="s">
        <v>81</v>
      </c>
      <c r="C87" s="17" t="s">
        <v>82</v>
      </c>
      <c r="D87" s="18" t="n">
        <v>46444</v>
      </c>
      <c r="E87" s="19" t="s">
        <v>70</v>
      </c>
      <c r="F87" s="16" t="s">
        <v>306</v>
      </c>
      <c r="G87" s="17" t="s">
        <v>307</v>
      </c>
      <c r="H87" s="18" t="n">
        <v>46430</v>
      </c>
      <c r="I87" s="19" t="s">
        <v>115</v>
      </c>
      <c r="J87" s="17" t="s">
        <v>308</v>
      </c>
      <c r="K87" s="20" t="s">
        <v>261</v>
      </c>
      <c r="L87" s="16" t="s">
        <v>118</v>
      </c>
      <c r="M87" s="20" t="n">
        <v>1</v>
      </c>
      <c r="N87" s="17" t="s">
        <v>293</v>
      </c>
      <c r="O87" s="19" t="s">
        <v>119</v>
      </c>
      <c r="P87" s="21"/>
    </row>
    <row r="88" customFormat="false" ht="32.8" hidden="false" customHeight="false" outlineLevel="0" collapsed="false">
      <c r="A88" s="16" t="s">
        <v>112</v>
      </c>
      <c r="B88" s="16" t="s">
        <v>81</v>
      </c>
      <c r="C88" s="17" t="s">
        <v>82</v>
      </c>
      <c r="D88" s="18" t="n">
        <v>46444</v>
      </c>
      <c r="E88" s="19" t="s">
        <v>70</v>
      </c>
      <c r="F88" s="16" t="s">
        <v>306</v>
      </c>
      <c r="G88" s="17" t="s">
        <v>307</v>
      </c>
      <c r="H88" s="18" t="n">
        <v>46430</v>
      </c>
      <c r="I88" s="19" t="s">
        <v>115</v>
      </c>
      <c r="J88" s="17" t="s">
        <v>309</v>
      </c>
      <c r="K88" s="20" t="s">
        <v>261</v>
      </c>
      <c r="L88" s="16" t="s">
        <v>118</v>
      </c>
      <c r="M88" s="20" t="n">
        <v>2</v>
      </c>
      <c r="N88" s="17" t="s">
        <v>240</v>
      </c>
      <c r="O88" s="19" t="s">
        <v>119</v>
      </c>
      <c r="P88" s="21"/>
    </row>
    <row r="89" customFormat="false" ht="32.8" hidden="false" customHeight="false" outlineLevel="0" collapsed="false">
      <c r="A89" s="16" t="s">
        <v>112</v>
      </c>
      <c r="B89" s="16" t="s">
        <v>81</v>
      </c>
      <c r="C89" s="17" t="s">
        <v>82</v>
      </c>
      <c r="D89" s="18" t="n">
        <v>46444</v>
      </c>
      <c r="E89" s="19" t="s">
        <v>70</v>
      </c>
      <c r="F89" s="16" t="s">
        <v>306</v>
      </c>
      <c r="G89" s="17" t="s">
        <v>307</v>
      </c>
      <c r="H89" s="18" t="n">
        <v>46430</v>
      </c>
      <c r="I89" s="19" t="s">
        <v>115</v>
      </c>
      <c r="J89" s="17" t="s">
        <v>310</v>
      </c>
      <c r="K89" s="20" t="s">
        <v>311</v>
      </c>
      <c r="L89" s="16" t="s">
        <v>118</v>
      </c>
      <c r="M89" s="20" t="n">
        <v>2</v>
      </c>
      <c r="N89" s="17" t="s">
        <v>312</v>
      </c>
      <c r="O89" s="19" t="s">
        <v>119</v>
      </c>
      <c r="P89" s="21"/>
    </row>
    <row r="90" customFormat="false" ht="32.8" hidden="false" customHeight="false" outlineLevel="0" collapsed="false">
      <c r="A90" s="16" t="s">
        <v>112</v>
      </c>
      <c r="B90" s="16" t="s">
        <v>81</v>
      </c>
      <c r="C90" s="17" t="s">
        <v>82</v>
      </c>
      <c r="D90" s="18" t="n">
        <v>46444</v>
      </c>
      <c r="E90" s="19" t="s">
        <v>70</v>
      </c>
      <c r="F90" s="16" t="s">
        <v>306</v>
      </c>
      <c r="G90" s="17" t="s">
        <v>307</v>
      </c>
      <c r="H90" s="18" t="n">
        <v>46430</v>
      </c>
      <c r="I90" s="19" t="s">
        <v>115</v>
      </c>
      <c r="J90" s="17" t="s">
        <v>313</v>
      </c>
      <c r="K90" s="20" t="s">
        <v>271</v>
      </c>
      <c r="L90" s="16" t="s">
        <v>118</v>
      </c>
      <c r="M90" s="20" t="n">
        <v>3</v>
      </c>
      <c r="N90" s="17" t="s">
        <v>314</v>
      </c>
      <c r="O90" s="19" t="s">
        <v>119</v>
      </c>
      <c r="P90" s="21"/>
    </row>
    <row r="91" customFormat="false" ht="32.8" hidden="false" customHeight="false" outlineLevel="0" collapsed="false">
      <c r="A91" s="16" t="s">
        <v>112</v>
      </c>
      <c r="B91" s="16" t="s">
        <v>81</v>
      </c>
      <c r="C91" s="17" t="s">
        <v>82</v>
      </c>
      <c r="D91" s="18" t="n">
        <v>46444</v>
      </c>
      <c r="E91" s="19" t="s">
        <v>70</v>
      </c>
      <c r="F91" s="16" t="s">
        <v>315</v>
      </c>
      <c r="G91" s="17" t="s">
        <v>316</v>
      </c>
      <c r="H91" s="18" t="n">
        <v>46346</v>
      </c>
      <c r="I91" s="19" t="s">
        <v>115</v>
      </c>
      <c r="J91" s="17" t="s">
        <v>317</v>
      </c>
      <c r="K91" s="20" t="s">
        <v>123</v>
      </c>
      <c r="L91" s="16" t="s">
        <v>118</v>
      </c>
      <c r="M91" s="20" t="n">
        <v>2</v>
      </c>
      <c r="N91" s="17"/>
      <c r="O91" s="19" t="s">
        <v>119</v>
      </c>
      <c r="P91" s="21"/>
    </row>
    <row r="92" customFormat="false" ht="32.8" hidden="false" customHeight="false" outlineLevel="0" collapsed="false">
      <c r="A92" s="16" t="s">
        <v>112</v>
      </c>
      <c r="B92" s="16" t="s">
        <v>81</v>
      </c>
      <c r="C92" s="17" t="s">
        <v>82</v>
      </c>
      <c r="D92" s="18" t="n">
        <v>46444</v>
      </c>
      <c r="E92" s="19" t="s">
        <v>70</v>
      </c>
      <c r="F92" s="16" t="s">
        <v>315</v>
      </c>
      <c r="G92" s="17" t="s">
        <v>316</v>
      </c>
      <c r="H92" s="18" t="n">
        <v>46346</v>
      </c>
      <c r="I92" s="19" t="s">
        <v>115</v>
      </c>
      <c r="J92" s="17" t="s">
        <v>318</v>
      </c>
      <c r="K92" s="20" t="s">
        <v>220</v>
      </c>
      <c r="L92" s="16" t="s">
        <v>118</v>
      </c>
      <c r="M92" s="20" t="n">
        <v>1</v>
      </c>
      <c r="N92" s="17" t="s">
        <v>319</v>
      </c>
      <c r="O92" s="19" t="s">
        <v>119</v>
      </c>
      <c r="P92" s="21"/>
    </row>
    <row r="93" customFormat="false" ht="32.8" hidden="false" customHeight="false" outlineLevel="0" collapsed="false">
      <c r="A93" s="16" t="s">
        <v>112</v>
      </c>
      <c r="B93" s="16" t="s">
        <v>81</v>
      </c>
      <c r="C93" s="17" t="s">
        <v>82</v>
      </c>
      <c r="D93" s="18" t="n">
        <v>46444</v>
      </c>
      <c r="E93" s="19" t="s">
        <v>70</v>
      </c>
      <c r="F93" s="16"/>
      <c r="G93" s="17"/>
      <c r="H93" s="18"/>
      <c r="I93" s="19"/>
      <c r="J93" s="17" t="s">
        <v>320</v>
      </c>
      <c r="K93" s="20" t="s">
        <v>277</v>
      </c>
      <c r="L93" s="16" t="s">
        <v>118</v>
      </c>
      <c r="M93" s="20" t="n">
        <v>1</v>
      </c>
      <c r="N93" s="17" t="s">
        <v>321</v>
      </c>
      <c r="O93" s="19" t="s">
        <v>119</v>
      </c>
      <c r="P93" s="21"/>
    </row>
    <row r="94" customFormat="false" ht="32.8" hidden="false" customHeight="false" outlineLevel="0" collapsed="false">
      <c r="A94" s="16" t="s">
        <v>112</v>
      </c>
      <c r="B94" s="16" t="s">
        <v>84</v>
      </c>
      <c r="C94" s="17" t="s">
        <v>85</v>
      </c>
      <c r="D94" s="18" t="n">
        <v>46444</v>
      </c>
      <c r="E94" s="19" t="s">
        <v>70</v>
      </c>
      <c r="F94" s="16" t="s">
        <v>322</v>
      </c>
      <c r="G94" s="17" t="s">
        <v>323</v>
      </c>
      <c r="H94" s="18" t="n">
        <v>46304</v>
      </c>
      <c r="I94" s="19" t="s">
        <v>115</v>
      </c>
      <c r="J94" s="17" t="s">
        <v>324</v>
      </c>
      <c r="K94" s="20" t="s">
        <v>126</v>
      </c>
      <c r="L94" s="16" t="s">
        <v>118</v>
      </c>
      <c r="M94" s="20" t="n">
        <v>2</v>
      </c>
      <c r="N94" s="17"/>
      <c r="O94" s="19" t="s">
        <v>119</v>
      </c>
      <c r="P94" s="21"/>
    </row>
    <row r="95" customFormat="false" ht="32.8" hidden="false" customHeight="false" outlineLevel="0" collapsed="false">
      <c r="A95" s="16" t="s">
        <v>112</v>
      </c>
      <c r="B95" s="16" t="s">
        <v>84</v>
      </c>
      <c r="C95" s="17" t="s">
        <v>85</v>
      </c>
      <c r="D95" s="18" t="n">
        <v>46444</v>
      </c>
      <c r="E95" s="19" t="s">
        <v>70</v>
      </c>
      <c r="F95" s="16" t="s">
        <v>322</v>
      </c>
      <c r="G95" s="17" t="s">
        <v>323</v>
      </c>
      <c r="H95" s="18" t="n">
        <v>46304</v>
      </c>
      <c r="I95" s="19" t="s">
        <v>115</v>
      </c>
      <c r="J95" s="17" t="s">
        <v>325</v>
      </c>
      <c r="K95" s="20" t="s">
        <v>126</v>
      </c>
      <c r="L95" s="16" t="s">
        <v>118</v>
      </c>
      <c r="M95" s="20" t="n">
        <v>2</v>
      </c>
      <c r="N95" s="17"/>
      <c r="O95" s="19" t="s">
        <v>119</v>
      </c>
      <c r="P95" s="21"/>
    </row>
    <row r="96" customFormat="false" ht="32.8" hidden="false" customHeight="false" outlineLevel="0" collapsed="false">
      <c r="A96" s="16" t="s">
        <v>112</v>
      </c>
      <c r="B96" s="16" t="s">
        <v>84</v>
      </c>
      <c r="C96" s="17" t="s">
        <v>85</v>
      </c>
      <c r="D96" s="18" t="n">
        <v>46444</v>
      </c>
      <c r="E96" s="19" t="s">
        <v>70</v>
      </c>
      <c r="F96" s="16" t="s">
        <v>322</v>
      </c>
      <c r="G96" s="17" t="s">
        <v>323</v>
      </c>
      <c r="H96" s="18" t="n">
        <v>46304</v>
      </c>
      <c r="I96" s="19" t="s">
        <v>115</v>
      </c>
      <c r="J96" s="17" t="s">
        <v>326</v>
      </c>
      <c r="K96" s="20" t="s">
        <v>126</v>
      </c>
      <c r="L96" s="16" t="s">
        <v>118</v>
      </c>
      <c r="M96" s="20" t="n">
        <v>2</v>
      </c>
      <c r="N96" s="17" t="s">
        <v>327</v>
      </c>
      <c r="O96" s="19" t="s">
        <v>119</v>
      </c>
      <c r="P96" s="21"/>
    </row>
    <row r="97" customFormat="false" ht="43.25" hidden="false" customHeight="false" outlineLevel="0" collapsed="false">
      <c r="A97" s="16" t="s">
        <v>112</v>
      </c>
      <c r="B97" s="16" t="s">
        <v>84</v>
      </c>
      <c r="C97" s="17" t="s">
        <v>85</v>
      </c>
      <c r="D97" s="18" t="n">
        <v>46444</v>
      </c>
      <c r="E97" s="19" t="s">
        <v>70</v>
      </c>
      <c r="F97" s="16" t="s">
        <v>328</v>
      </c>
      <c r="G97" s="17" t="s">
        <v>329</v>
      </c>
      <c r="H97" s="18" t="n">
        <v>46318</v>
      </c>
      <c r="I97" s="19" t="s">
        <v>115</v>
      </c>
      <c r="J97" s="17" t="s">
        <v>330</v>
      </c>
      <c r="K97" s="20" t="s">
        <v>131</v>
      </c>
      <c r="L97" s="16" t="s">
        <v>118</v>
      </c>
      <c r="M97" s="20" t="n">
        <v>3</v>
      </c>
      <c r="N97" s="17"/>
      <c r="O97" s="19" t="s">
        <v>119</v>
      </c>
      <c r="P97" s="21"/>
    </row>
    <row r="98" customFormat="false" ht="43.25" hidden="false" customHeight="false" outlineLevel="0" collapsed="false">
      <c r="A98" s="16" t="s">
        <v>112</v>
      </c>
      <c r="B98" s="16" t="s">
        <v>84</v>
      </c>
      <c r="C98" s="17" t="s">
        <v>85</v>
      </c>
      <c r="D98" s="18" t="n">
        <v>46444</v>
      </c>
      <c r="E98" s="19" t="s">
        <v>70</v>
      </c>
      <c r="F98" s="16" t="s">
        <v>328</v>
      </c>
      <c r="G98" s="17" t="s">
        <v>329</v>
      </c>
      <c r="H98" s="18" t="n">
        <v>46318</v>
      </c>
      <c r="I98" s="19" t="s">
        <v>115</v>
      </c>
      <c r="J98" s="17" t="s">
        <v>331</v>
      </c>
      <c r="K98" s="20" t="s">
        <v>131</v>
      </c>
      <c r="L98" s="16" t="s">
        <v>118</v>
      </c>
      <c r="M98" s="20" t="n">
        <v>1</v>
      </c>
      <c r="N98" s="17" t="s">
        <v>332</v>
      </c>
      <c r="O98" s="19" t="s">
        <v>119</v>
      </c>
      <c r="P98" s="21"/>
    </row>
    <row r="99" customFormat="false" ht="43.25" hidden="false" customHeight="false" outlineLevel="0" collapsed="false">
      <c r="A99" s="16" t="s">
        <v>112</v>
      </c>
      <c r="B99" s="16" t="s">
        <v>84</v>
      </c>
      <c r="C99" s="17" t="s">
        <v>85</v>
      </c>
      <c r="D99" s="18" t="n">
        <v>46444</v>
      </c>
      <c r="E99" s="19" t="s">
        <v>70</v>
      </c>
      <c r="F99" s="16" t="s">
        <v>328</v>
      </c>
      <c r="G99" s="17" t="s">
        <v>329</v>
      </c>
      <c r="H99" s="18" t="n">
        <v>46318</v>
      </c>
      <c r="I99" s="19" t="s">
        <v>115</v>
      </c>
      <c r="J99" s="17" t="s">
        <v>333</v>
      </c>
      <c r="K99" s="20" t="s">
        <v>131</v>
      </c>
      <c r="L99" s="16" t="s">
        <v>118</v>
      </c>
      <c r="M99" s="20" t="n">
        <v>3</v>
      </c>
      <c r="N99" s="17" t="s">
        <v>334</v>
      </c>
      <c r="O99" s="19" t="s">
        <v>119</v>
      </c>
      <c r="P99" s="21"/>
    </row>
    <row r="100" customFormat="false" ht="32.8" hidden="false" customHeight="false" outlineLevel="0" collapsed="false">
      <c r="A100" s="16" t="s">
        <v>112</v>
      </c>
      <c r="B100" s="16" t="s">
        <v>84</v>
      </c>
      <c r="C100" s="17" t="s">
        <v>85</v>
      </c>
      <c r="D100" s="18" t="n">
        <v>46444</v>
      </c>
      <c r="E100" s="19" t="s">
        <v>70</v>
      </c>
      <c r="F100" s="16" t="s">
        <v>335</v>
      </c>
      <c r="G100" s="17" t="s">
        <v>336</v>
      </c>
      <c r="H100" s="18" t="n">
        <v>46332</v>
      </c>
      <c r="I100" s="19" t="s">
        <v>115</v>
      </c>
      <c r="J100" s="17" t="s">
        <v>337</v>
      </c>
      <c r="K100" s="20" t="s">
        <v>131</v>
      </c>
      <c r="L100" s="16" t="s">
        <v>118</v>
      </c>
      <c r="M100" s="20" t="n">
        <v>4</v>
      </c>
      <c r="N100" s="17" t="s">
        <v>338</v>
      </c>
      <c r="O100" s="19" t="s">
        <v>119</v>
      </c>
      <c r="P100" s="21"/>
    </row>
    <row r="101" customFormat="false" ht="32.8" hidden="false" customHeight="false" outlineLevel="0" collapsed="false">
      <c r="A101" s="16" t="s">
        <v>112</v>
      </c>
      <c r="B101" s="16" t="s">
        <v>84</v>
      </c>
      <c r="C101" s="17" t="s">
        <v>85</v>
      </c>
      <c r="D101" s="18" t="n">
        <v>46444</v>
      </c>
      <c r="E101" s="19" t="s">
        <v>70</v>
      </c>
      <c r="F101" s="16" t="s">
        <v>335</v>
      </c>
      <c r="G101" s="17" t="s">
        <v>336</v>
      </c>
      <c r="H101" s="18" t="n">
        <v>46332</v>
      </c>
      <c r="I101" s="19" t="s">
        <v>115</v>
      </c>
      <c r="J101" s="17" t="s">
        <v>339</v>
      </c>
      <c r="K101" s="20" t="s">
        <v>196</v>
      </c>
      <c r="L101" s="16" t="s">
        <v>118</v>
      </c>
      <c r="M101" s="20" t="n">
        <v>5</v>
      </c>
      <c r="N101" s="17" t="s">
        <v>340</v>
      </c>
      <c r="O101" s="19" t="s">
        <v>119</v>
      </c>
      <c r="P101" s="21"/>
    </row>
    <row r="102" customFormat="false" ht="32.8" hidden="false" customHeight="false" outlineLevel="0" collapsed="false">
      <c r="A102" s="16" t="s">
        <v>112</v>
      </c>
      <c r="B102" s="16" t="s">
        <v>84</v>
      </c>
      <c r="C102" s="17" t="s">
        <v>85</v>
      </c>
      <c r="D102" s="18" t="n">
        <v>46444</v>
      </c>
      <c r="E102" s="19" t="s">
        <v>70</v>
      </c>
      <c r="F102" s="16" t="s">
        <v>335</v>
      </c>
      <c r="G102" s="17" t="s">
        <v>336</v>
      </c>
      <c r="H102" s="18" t="n">
        <v>46332</v>
      </c>
      <c r="I102" s="19" t="s">
        <v>115</v>
      </c>
      <c r="J102" s="17" t="s">
        <v>192</v>
      </c>
      <c r="K102" s="20" t="s">
        <v>196</v>
      </c>
      <c r="L102" s="16" t="s">
        <v>118</v>
      </c>
      <c r="M102" s="20" t="n">
        <v>2</v>
      </c>
      <c r="N102" s="17" t="s">
        <v>335</v>
      </c>
      <c r="O102" s="19" t="s">
        <v>119</v>
      </c>
      <c r="P102" s="21"/>
    </row>
    <row r="103" customFormat="false" ht="32.8" hidden="false" customHeight="false" outlineLevel="0" collapsed="false">
      <c r="A103" s="16" t="s">
        <v>112</v>
      </c>
      <c r="B103" s="16" t="s">
        <v>84</v>
      </c>
      <c r="C103" s="17" t="s">
        <v>85</v>
      </c>
      <c r="D103" s="18" t="n">
        <v>46444</v>
      </c>
      <c r="E103" s="19" t="s">
        <v>70</v>
      </c>
      <c r="F103" s="16" t="s">
        <v>341</v>
      </c>
      <c r="G103" s="17" t="s">
        <v>342</v>
      </c>
      <c r="H103" s="18" t="n">
        <v>46444</v>
      </c>
      <c r="I103" s="19" t="s">
        <v>115</v>
      </c>
      <c r="J103" s="17" t="s">
        <v>343</v>
      </c>
      <c r="K103" s="20" t="s">
        <v>277</v>
      </c>
      <c r="L103" s="16" t="s">
        <v>118</v>
      </c>
      <c r="M103" s="20" t="n">
        <v>4</v>
      </c>
      <c r="N103" s="17" t="s">
        <v>275</v>
      </c>
      <c r="O103" s="19" t="s">
        <v>119</v>
      </c>
      <c r="P103" s="21"/>
    </row>
    <row r="104" customFormat="false" ht="32.8" hidden="false" customHeight="false" outlineLevel="0" collapsed="false">
      <c r="A104" s="16" t="s">
        <v>112</v>
      </c>
      <c r="B104" s="16" t="s">
        <v>84</v>
      </c>
      <c r="C104" s="17" t="s">
        <v>85</v>
      </c>
      <c r="D104" s="18" t="n">
        <v>46444</v>
      </c>
      <c r="E104" s="19" t="s">
        <v>70</v>
      </c>
      <c r="F104" s="16" t="s">
        <v>341</v>
      </c>
      <c r="G104" s="17" t="s">
        <v>342</v>
      </c>
      <c r="H104" s="18" t="n">
        <v>46444</v>
      </c>
      <c r="I104" s="19" t="s">
        <v>115</v>
      </c>
      <c r="J104" s="17" t="s">
        <v>344</v>
      </c>
      <c r="K104" s="20" t="s">
        <v>277</v>
      </c>
      <c r="L104" s="16" t="s">
        <v>118</v>
      </c>
      <c r="M104" s="20" t="n">
        <v>2</v>
      </c>
      <c r="N104" s="17" t="s">
        <v>345</v>
      </c>
      <c r="O104" s="19" t="s">
        <v>119</v>
      </c>
      <c r="P104" s="21"/>
    </row>
    <row r="105" customFormat="false" ht="32.8" hidden="false" customHeight="false" outlineLevel="0" collapsed="false">
      <c r="A105" s="16" t="s">
        <v>112</v>
      </c>
      <c r="B105" s="16" t="s">
        <v>84</v>
      </c>
      <c r="C105" s="17" t="s">
        <v>85</v>
      </c>
      <c r="D105" s="18" t="n">
        <v>46444</v>
      </c>
      <c r="E105" s="19" t="s">
        <v>70</v>
      </c>
      <c r="F105" s="16"/>
      <c r="G105" s="17"/>
      <c r="H105" s="18"/>
      <c r="I105" s="19"/>
      <c r="J105" s="17" t="s">
        <v>346</v>
      </c>
      <c r="K105" s="20" t="s">
        <v>196</v>
      </c>
      <c r="L105" s="16" t="s">
        <v>118</v>
      </c>
      <c r="M105" s="20" t="n">
        <v>1</v>
      </c>
      <c r="N105" s="17" t="s">
        <v>335</v>
      </c>
      <c r="O105" s="19" t="s">
        <v>119</v>
      </c>
      <c r="P105" s="21"/>
    </row>
    <row r="106" customFormat="false" ht="32.8" hidden="false" customHeight="false" outlineLevel="0" collapsed="false">
      <c r="A106" s="16" t="s">
        <v>112</v>
      </c>
      <c r="B106" s="16" t="s">
        <v>84</v>
      </c>
      <c r="C106" s="17" t="s">
        <v>85</v>
      </c>
      <c r="D106" s="18" t="n">
        <v>46444</v>
      </c>
      <c r="E106" s="19" t="s">
        <v>70</v>
      </c>
      <c r="F106" s="16"/>
      <c r="G106" s="17"/>
      <c r="H106" s="18"/>
      <c r="I106" s="19"/>
      <c r="J106" s="17" t="s">
        <v>347</v>
      </c>
      <c r="K106" s="20" t="s">
        <v>277</v>
      </c>
      <c r="L106" s="16" t="s">
        <v>118</v>
      </c>
      <c r="M106" s="20" t="n">
        <v>1</v>
      </c>
      <c r="N106" s="17" t="s">
        <v>348</v>
      </c>
      <c r="O106" s="19" t="s">
        <v>119</v>
      </c>
      <c r="P106" s="21"/>
    </row>
    <row r="107" customFormat="false" ht="32.8" hidden="false" customHeight="false" outlineLevel="0" collapsed="false">
      <c r="A107" s="16" t="s">
        <v>112</v>
      </c>
      <c r="B107" s="16" t="s">
        <v>87</v>
      </c>
      <c r="C107" s="17" t="s">
        <v>88</v>
      </c>
      <c r="D107" s="18" t="n">
        <v>46472</v>
      </c>
      <c r="E107" s="19" t="s">
        <v>70</v>
      </c>
      <c r="F107" s="16" t="s">
        <v>349</v>
      </c>
      <c r="G107" s="17" t="s">
        <v>350</v>
      </c>
      <c r="H107" s="18" t="n">
        <v>46346</v>
      </c>
      <c r="I107" s="19" t="s">
        <v>115</v>
      </c>
      <c r="J107" s="17" t="s">
        <v>351</v>
      </c>
      <c r="K107" s="20" t="s">
        <v>220</v>
      </c>
      <c r="L107" s="16" t="s">
        <v>118</v>
      </c>
      <c r="M107" s="20" t="n">
        <v>4</v>
      </c>
      <c r="N107" s="17" t="s">
        <v>352</v>
      </c>
      <c r="O107" s="19" t="s">
        <v>119</v>
      </c>
      <c r="P107" s="21"/>
    </row>
    <row r="108" customFormat="false" ht="32.8" hidden="false" customHeight="false" outlineLevel="0" collapsed="false">
      <c r="A108" s="16" t="s">
        <v>112</v>
      </c>
      <c r="B108" s="16" t="s">
        <v>87</v>
      </c>
      <c r="C108" s="17" t="s">
        <v>88</v>
      </c>
      <c r="D108" s="18" t="n">
        <v>46472</v>
      </c>
      <c r="E108" s="19" t="s">
        <v>70</v>
      </c>
      <c r="F108" s="16" t="s">
        <v>349</v>
      </c>
      <c r="G108" s="17" t="s">
        <v>350</v>
      </c>
      <c r="H108" s="18" t="n">
        <v>46346</v>
      </c>
      <c r="I108" s="19" t="s">
        <v>115</v>
      </c>
      <c r="J108" s="17" t="s">
        <v>353</v>
      </c>
      <c r="K108" s="20" t="s">
        <v>220</v>
      </c>
      <c r="L108" s="16" t="s">
        <v>118</v>
      </c>
      <c r="M108" s="20" t="n">
        <v>4</v>
      </c>
      <c r="N108" s="17" t="s">
        <v>354</v>
      </c>
      <c r="O108" s="19" t="s">
        <v>119</v>
      </c>
      <c r="P108" s="21"/>
    </row>
    <row r="109" customFormat="false" ht="32.8" hidden="false" customHeight="false" outlineLevel="0" collapsed="false">
      <c r="A109" s="16" t="s">
        <v>112</v>
      </c>
      <c r="B109" s="16" t="s">
        <v>87</v>
      </c>
      <c r="C109" s="17" t="s">
        <v>88</v>
      </c>
      <c r="D109" s="18" t="n">
        <v>46472</v>
      </c>
      <c r="E109" s="19" t="s">
        <v>70</v>
      </c>
      <c r="F109" s="16" t="s">
        <v>349</v>
      </c>
      <c r="G109" s="17" t="s">
        <v>350</v>
      </c>
      <c r="H109" s="18" t="n">
        <v>46346</v>
      </c>
      <c r="I109" s="19" t="s">
        <v>115</v>
      </c>
      <c r="J109" s="17" t="s">
        <v>355</v>
      </c>
      <c r="K109" s="20" t="s">
        <v>220</v>
      </c>
      <c r="L109" s="16" t="s">
        <v>118</v>
      </c>
      <c r="M109" s="20" t="n">
        <v>3</v>
      </c>
      <c r="N109" s="17" t="s">
        <v>356</v>
      </c>
      <c r="O109" s="19" t="s">
        <v>119</v>
      </c>
      <c r="P109" s="21"/>
    </row>
    <row r="110" customFormat="false" ht="32.8" hidden="false" customHeight="false" outlineLevel="0" collapsed="false">
      <c r="A110" s="16" t="s">
        <v>112</v>
      </c>
      <c r="B110" s="16" t="s">
        <v>87</v>
      </c>
      <c r="C110" s="17" t="s">
        <v>88</v>
      </c>
      <c r="D110" s="18" t="n">
        <v>46472</v>
      </c>
      <c r="E110" s="19" t="s">
        <v>70</v>
      </c>
      <c r="F110" s="16" t="s">
        <v>349</v>
      </c>
      <c r="G110" s="17" t="s">
        <v>350</v>
      </c>
      <c r="H110" s="18" t="n">
        <v>46346</v>
      </c>
      <c r="I110" s="19" t="s">
        <v>115</v>
      </c>
      <c r="J110" s="17" t="s">
        <v>357</v>
      </c>
      <c r="K110" s="20" t="s">
        <v>261</v>
      </c>
      <c r="L110" s="16" t="s">
        <v>118</v>
      </c>
      <c r="M110" s="20" t="n">
        <v>2</v>
      </c>
      <c r="N110" s="17" t="s">
        <v>358</v>
      </c>
      <c r="O110" s="19" t="s">
        <v>119</v>
      </c>
      <c r="P110" s="21"/>
    </row>
    <row r="111" customFormat="false" ht="32.8" hidden="false" customHeight="false" outlineLevel="0" collapsed="false">
      <c r="A111" s="16" t="s">
        <v>112</v>
      </c>
      <c r="B111" s="16" t="s">
        <v>87</v>
      </c>
      <c r="C111" s="17" t="s">
        <v>88</v>
      </c>
      <c r="D111" s="18" t="n">
        <v>46472</v>
      </c>
      <c r="E111" s="19" t="s">
        <v>70</v>
      </c>
      <c r="F111" s="16" t="s">
        <v>359</v>
      </c>
      <c r="G111" s="17" t="s">
        <v>360</v>
      </c>
      <c r="H111" s="18" t="n">
        <v>46360</v>
      </c>
      <c r="I111" s="19" t="s">
        <v>115</v>
      </c>
      <c r="J111" s="17" t="s">
        <v>361</v>
      </c>
      <c r="K111" s="20" t="s">
        <v>220</v>
      </c>
      <c r="L111" s="16" t="s">
        <v>118</v>
      </c>
      <c r="M111" s="20" t="n">
        <v>4</v>
      </c>
      <c r="N111" s="17"/>
      <c r="O111" s="19" t="s">
        <v>119</v>
      </c>
      <c r="P111" s="21"/>
    </row>
    <row r="112" customFormat="false" ht="32.8" hidden="false" customHeight="false" outlineLevel="0" collapsed="false">
      <c r="A112" s="16" t="s">
        <v>112</v>
      </c>
      <c r="B112" s="16" t="s">
        <v>87</v>
      </c>
      <c r="C112" s="17" t="s">
        <v>88</v>
      </c>
      <c r="D112" s="18" t="n">
        <v>46472</v>
      </c>
      <c r="E112" s="19" t="s">
        <v>70</v>
      </c>
      <c r="F112" s="16" t="s">
        <v>359</v>
      </c>
      <c r="G112" s="17" t="s">
        <v>360</v>
      </c>
      <c r="H112" s="18" t="n">
        <v>46360</v>
      </c>
      <c r="I112" s="19" t="s">
        <v>115</v>
      </c>
      <c r="J112" s="17" t="s">
        <v>362</v>
      </c>
      <c r="K112" s="20" t="s">
        <v>220</v>
      </c>
      <c r="L112" s="16" t="s">
        <v>118</v>
      </c>
      <c r="M112" s="20" t="n">
        <v>1</v>
      </c>
      <c r="N112" s="17"/>
      <c r="O112" s="19" t="s">
        <v>119</v>
      </c>
      <c r="P112" s="21"/>
    </row>
    <row r="113" customFormat="false" ht="32.8" hidden="false" customHeight="false" outlineLevel="0" collapsed="false">
      <c r="A113" s="16" t="s">
        <v>112</v>
      </c>
      <c r="B113" s="16" t="s">
        <v>87</v>
      </c>
      <c r="C113" s="17" t="s">
        <v>88</v>
      </c>
      <c r="D113" s="18" t="n">
        <v>46472</v>
      </c>
      <c r="E113" s="19" t="s">
        <v>70</v>
      </c>
      <c r="F113" s="16" t="s">
        <v>359</v>
      </c>
      <c r="G113" s="17" t="s">
        <v>360</v>
      </c>
      <c r="H113" s="18" t="n">
        <v>46360</v>
      </c>
      <c r="I113" s="19" t="s">
        <v>115</v>
      </c>
      <c r="J113" s="17" t="s">
        <v>363</v>
      </c>
      <c r="K113" s="20" t="s">
        <v>311</v>
      </c>
      <c r="L113" s="16" t="s">
        <v>118</v>
      </c>
      <c r="M113" s="20" t="n">
        <v>5</v>
      </c>
      <c r="N113" s="17" t="s">
        <v>364</v>
      </c>
      <c r="O113" s="19" t="s">
        <v>119</v>
      </c>
      <c r="P113" s="21"/>
    </row>
    <row r="114" customFormat="false" ht="32.8" hidden="false" customHeight="false" outlineLevel="0" collapsed="false">
      <c r="A114" s="16" t="s">
        <v>112</v>
      </c>
      <c r="B114" s="16" t="s">
        <v>87</v>
      </c>
      <c r="C114" s="17" t="s">
        <v>88</v>
      </c>
      <c r="D114" s="18" t="n">
        <v>46472</v>
      </c>
      <c r="E114" s="19" t="s">
        <v>70</v>
      </c>
      <c r="F114" s="16" t="s">
        <v>365</v>
      </c>
      <c r="G114" s="17" t="s">
        <v>366</v>
      </c>
      <c r="H114" s="18" t="n">
        <v>46416</v>
      </c>
      <c r="I114" s="19" t="s">
        <v>115</v>
      </c>
      <c r="J114" s="17" t="s">
        <v>367</v>
      </c>
      <c r="K114" s="20" t="s">
        <v>368</v>
      </c>
      <c r="L114" s="16" t="s">
        <v>118</v>
      </c>
      <c r="M114" s="20" t="n">
        <v>5</v>
      </c>
      <c r="N114" s="17" t="s">
        <v>369</v>
      </c>
      <c r="O114" s="19" t="s">
        <v>119</v>
      </c>
      <c r="P114" s="21"/>
    </row>
    <row r="115" customFormat="false" ht="32.8" hidden="false" customHeight="false" outlineLevel="0" collapsed="false">
      <c r="A115" s="16" t="s">
        <v>112</v>
      </c>
      <c r="B115" s="16" t="s">
        <v>87</v>
      </c>
      <c r="C115" s="17" t="s">
        <v>88</v>
      </c>
      <c r="D115" s="18" t="n">
        <v>46472</v>
      </c>
      <c r="E115" s="19" t="s">
        <v>70</v>
      </c>
      <c r="F115" s="16" t="s">
        <v>365</v>
      </c>
      <c r="G115" s="17" t="s">
        <v>366</v>
      </c>
      <c r="H115" s="18" t="n">
        <v>46416</v>
      </c>
      <c r="I115" s="19" t="s">
        <v>115</v>
      </c>
      <c r="J115" s="17" t="s">
        <v>370</v>
      </c>
      <c r="K115" s="20" t="s">
        <v>371</v>
      </c>
      <c r="L115" s="16" t="s">
        <v>118</v>
      </c>
      <c r="M115" s="20" t="n">
        <v>8</v>
      </c>
      <c r="N115" s="17" t="s">
        <v>372</v>
      </c>
      <c r="O115" s="19" t="s">
        <v>119</v>
      </c>
      <c r="P115" s="21"/>
    </row>
    <row r="116" customFormat="false" ht="32.8" hidden="false" customHeight="false" outlineLevel="0" collapsed="false">
      <c r="A116" s="16" t="s">
        <v>112</v>
      </c>
      <c r="B116" s="16" t="s">
        <v>87</v>
      </c>
      <c r="C116" s="17" t="s">
        <v>88</v>
      </c>
      <c r="D116" s="18" t="n">
        <v>46472</v>
      </c>
      <c r="E116" s="19" t="s">
        <v>70</v>
      </c>
      <c r="F116" s="16" t="s">
        <v>365</v>
      </c>
      <c r="G116" s="17" t="s">
        <v>366</v>
      </c>
      <c r="H116" s="18" t="n">
        <v>46416</v>
      </c>
      <c r="I116" s="19" t="s">
        <v>115</v>
      </c>
      <c r="J116" s="17" t="s">
        <v>373</v>
      </c>
      <c r="K116" s="20" t="s">
        <v>266</v>
      </c>
      <c r="L116" s="16" t="s">
        <v>118</v>
      </c>
      <c r="M116" s="20" t="n">
        <v>5</v>
      </c>
      <c r="N116" s="17" t="s">
        <v>374</v>
      </c>
      <c r="O116" s="19" t="s">
        <v>119</v>
      </c>
      <c r="P116" s="21"/>
    </row>
    <row r="117" customFormat="false" ht="22.35" hidden="false" customHeight="false" outlineLevel="0" collapsed="false">
      <c r="A117" s="16" t="s">
        <v>112</v>
      </c>
      <c r="B117" s="16" t="s">
        <v>87</v>
      </c>
      <c r="C117" s="17" t="s">
        <v>88</v>
      </c>
      <c r="D117" s="18" t="n">
        <v>46472</v>
      </c>
      <c r="E117" s="19" t="s">
        <v>70</v>
      </c>
      <c r="F117" s="16" t="s">
        <v>375</v>
      </c>
      <c r="G117" s="17" t="s">
        <v>376</v>
      </c>
      <c r="H117" s="18" t="n">
        <v>46444</v>
      </c>
      <c r="I117" s="19" t="s">
        <v>115</v>
      </c>
      <c r="J117" s="17" t="s">
        <v>377</v>
      </c>
      <c r="K117" s="20" t="s">
        <v>271</v>
      </c>
      <c r="L117" s="16" t="s">
        <v>118</v>
      </c>
      <c r="M117" s="20" t="n">
        <v>8</v>
      </c>
      <c r="N117" s="17" t="s">
        <v>378</v>
      </c>
      <c r="O117" s="19" t="s">
        <v>119</v>
      </c>
      <c r="P117" s="21"/>
    </row>
    <row r="118" customFormat="false" ht="22.35" hidden="false" customHeight="false" outlineLevel="0" collapsed="false">
      <c r="A118" s="16" t="s">
        <v>112</v>
      </c>
      <c r="B118" s="16" t="s">
        <v>87</v>
      </c>
      <c r="C118" s="17" t="s">
        <v>88</v>
      </c>
      <c r="D118" s="18" t="n">
        <v>46472</v>
      </c>
      <c r="E118" s="19" t="s">
        <v>70</v>
      </c>
      <c r="F118" s="16" t="s">
        <v>375</v>
      </c>
      <c r="G118" s="17" t="s">
        <v>376</v>
      </c>
      <c r="H118" s="18" t="n">
        <v>46444</v>
      </c>
      <c r="I118" s="19" t="s">
        <v>115</v>
      </c>
      <c r="J118" s="17" t="s">
        <v>379</v>
      </c>
      <c r="K118" s="20" t="s">
        <v>277</v>
      </c>
      <c r="L118" s="16" t="s">
        <v>118</v>
      </c>
      <c r="M118" s="20" t="n">
        <v>4</v>
      </c>
      <c r="N118" s="17" t="s">
        <v>380</v>
      </c>
      <c r="O118" s="19" t="s">
        <v>119</v>
      </c>
      <c r="P118" s="21"/>
    </row>
    <row r="119" customFormat="false" ht="22.35" hidden="false" customHeight="false" outlineLevel="0" collapsed="false">
      <c r="A119" s="16" t="s">
        <v>112</v>
      </c>
      <c r="B119" s="16" t="s">
        <v>87</v>
      </c>
      <c r="C119" s="17" t="s">
        <v>88</v>
      </c>
      <c r="D119" s="18" t="n">
        <v>46472</v>
      </c>
      <c r="E119" s="19" t="s">
        <v>70</v>
      </c>
      <c r="F119" s="16" t="s">
        <v>381</v>
      </c>
      <c r="G119" s="17" t="s">
        <v>382</v>
      </c>
      <c r="H119" s="18" t="n">
        <v>46542</v>
      </c>
      <c r="I119" s="19" t="s">
        <v>115</v>
      </c>
      <c r="J119" s="17" t="s">
        <v>383</v>
      </c>
      <c r="K119" s="20" t="s">
        <v>384</v>
      </c>
      <c r="L119" s="16" t="s">
        <v>118</v>
      </c>
      <c r="M119" s="20" t="n">
        <v>6</v>
      </c>
      <c r="N119" s="17" t="s">
        <v>375</v>
      </c>
      <c r="O119" s="19" t="s">
        <v>119</v>
      </c>
      <c r="P119" s="21"/>
    </row>
    <row r="120" customFormat="false" ht="22.35" hidden="false" customHeight="false" outlineLevel="0" collapsed="false">
      <c r="A120" s="16" t="s">
        <v>112</v>
      </c>
      <c r="B120" s="16" t="s">
        <v>87</v>
      </c>
      <c r="C120" s="17" t="s">
        <v>88</v>
      </c>
      <c r="D120" s="18" t="n">
        <v>46472</v>
      </c>
      <c r="E120" s="19" t="s">
        <v>70</v>
      </c>
      <c r="F120" s="16" t="s">
        <v>381</v>
      </c>
      <c r="G120" s="17" t="s">
        <v>382</v>
      </c>
      <c r="H120" s="18" t="n">
        <v>46542</v>
      </c>
      <c r="I120" s="19" t="s">
        <v>115</v>
      </c>
      <c r="J120" s="17" t="s">
        <v>385</v>
      </c>
      <c r="K120" s="20" t="s">
        <v>386</v>
      </c>
      <c r="L120" s="16" t="s">
        <v>118</v>
      </c>
      <c r="M120" s="20" t="n">
        <v>4</v>
      </c>
      <c r="N120" s="17" t="s">
        <v>387</v>
      </c>
      <c r="O120" s="19" t="s">
        <v>119</v>
      </c>
      <c r="P120" s="21"/>
    </row>
    <row r="121" customFormat="false" ht="22.35" hidden="false" customHeight="false" outlineLevel="0" collapsed="false">
      <c r="A121" s="16" t="s">
        <v>112</v>
      </c>
      <c r="B121" s="16" t="s">
        <v>87</v>
      </c>
      <c r="C121" s="17" t="s">
        <v>88</v>
      </c>
      <c r="D121" s="18" t="n">
        <v>46472</v>
      </c>
      <c r="E121" s="19" t="s">
        <v>70</v>
      </c>
      <c r="F121" s="16"/>
      <c r="G121" s="17"/>
      <c r="H121" s="18"/>
      <c r="I121" s="19"/>
      <c r="J121" s="17" t="s">
        <v>388</v>
      </c>
      <c r="K121" s="20" t="s">
        <v>389</v>
      </c>
      <c r="L121" s="16" t="s">
        <v>118</v>
      </c>
      <c r="M121" s="20" t="n">
        <v>2</v>
      </c>
      <c r="N121" s="17" t="s">
        <v>390</v>
      </c>
      <c r="O121" s="19" t="s">
        <v>119</v>
      </c>
      <c r="P121" s="21"/>
    </row>
    <row r="122" customFormat="false" ht="32.8" hidden="false" customHeight="false" outlineLevel="0" collapsed="false">
      <c r="A122" s="16" t="s">
        <v>112</v>
      </c>
      <c r="B122" s="16" t="s">
        <v>90</v>
      </c>
      <c r="C122" s="17" t="s">
        <v>91</v>
      </c>
      <c r="D122" s="18" t="n">
        <v>46402</v>
      </c>
      <c r="E122" s="19" t="s">
        <v>70</v>
      </c>
      <c r="F122" s="16" t="s">
        <v>391</v>
      </c>
      <c r="G122" s="17" t="s">
        <v>392</v>
      </c>
      <c r="H122" s="18" t="n">
        <v>46346</v>
      </c>
      <c r="I122" s="19" t="s">
        <v>115</v>
      </c>
      <c r="J122" s="17" t="s">
        <v>393</v>
      </c>
      <c r="K122" s="20" t="s">
        <v>220</v>
      </c>
      <c r="L122" s="16" t="s">
        <v>118</v>
      </c>
      <c r="M122" s="20" t="n">
        <v>3</v>
      </c>
      <c r="N122" s="17" t="s">
        <v>352</v>
      </c>
      <c r="O122" s="19" t="s">
        <v>119</v>
      </c>
      <c r="P122" s="21"/>
    </row>
    <row r="123" customFormat="false" ht="32.8" hidden="false" customHeight="false" outlineLevel="0" collapsed="false">
      <c r="A123" s="16" t="s">
        <v>112</v>
      </c>
      <c r="B123" s="16" t="s">
        <v>90</v>
      </c>
      <c r="C123" s="17" t="s">
        <v>91</v>
      </c>
      <c r="D123" s="18" t="n">
        <v>46402</v>
      </c>
      <c r="E123" s="19" t="s">
        <v>70</v>
      </c>
      <c r="F123" s="16" t="s">
        <v>391</v>
      </c>
      <c r="G123" s="17" t="s">
        <v>392</v>
      </c>
      <c r="H123" s="18" t="n">
        <v>46346</v>
      </c>
      <c r="I123" s="19" t="s">
        <v>115</v>
      </c>
      <c r="J123" s="17" t="s">
        <v>394</v>
      </c>
      <c r="K123" s="20" t="s">
        <v>220</v>
      </c>
      <c r="L123" s="16" t="s">
        <v>118</v>
      </c>
      <c r="M123" s="20" t="n">
        <v>2</v>
      </c>
      <c r="N123" s="17" t="s">
        <v>395</v>
      </c>
      <c r="O123" s="19" t="s">
        <v>119</v>
      </c>
      <c r="P123" s="21"/>
    </row>
    <row r="124" customFormat="false" ht="32.8" hidden="false" customHeight="false" outlineLevel="0" collapsed="false">
      <c r="A124" s="16" t="s">
        <v>112</v>
      </c>
      <c r="B124" s="16" t="s">
        <v>90</v>
      </c>
      <c r="C124" s="17" t="s">
        <v>91</v>
      </c>
      <c r="D124" s="18" t="n">
        <v>46402</v>
      </c>
      <c r="E124" s="19" t="s">
        <v>70</v>
      </c>
      <c r="F124" s="16" t="s">
        <v>396</v>
      </c>
      <c r="G124" s="17" t="s">
        <v>397</v>
      </c>
      <c r="H124" s="18" t="n">
        <v>46360</v>
      </c>
      <c r="I124" s="19" t="s">
        <v>115</v>
      </c>
      <c r="J124" s="17" t="s">
        <v>398</v>
      </c>
      <c r="K124" s="20" t="s">
        <v>311</v>
      </c>
      <c r="L124" s="16" t="s">
        <v>118</v>
      </c>
      <c r="M124" s="20" t="n">
        <v>3</v>
      </c>
      <c r="N124" s="17" t="s">
        <v>391</v>
      </c>
      <c r="O124" s="19" t="s">
        <v>119</v>
      </c>
      <c r="P124" s="21"/>
    </row>
    <row r="125" customFormat="false" ht="32.8" hidden="false" customHeight="false" outlineLevel="0" collapsed="false">
      <c r="A125" s="16" t="s">
        <v>112</v>
      </c>
      <c r="B125" s="16" t="s">
        <v>90</v>
      </c>
      <c r="C125" s="17" t="s">
        <v>91</v>
      </c>
      <c r="D125" s="18" t="n">
        <v>46402</v>
      </c>
      <c r="E125" s="19" t="s">
        <v>70</v>
      </c>
      <c r="F125" s="16" t="s">
        <v>396</v>
      </c>
      <c r="G125" s="17" t="s">
        <v>397</v>
      </c>
      <c r="H125" s="18" t="n">
        <v>46360</v>
      </c>
      <c r="I125" s="19" t="s">
        <v>115</v>
      </c>
      <c r="J125" s="17" t="s">
        <v>399</v>
      </c>
      <c r="K125" s="20" t="s">
        <v>311</v>
      </c>
      <c r="L125" s="16" t="s">
        <v>118</v>
      </c>
      <c r="M125" s="20" t="n">
        <v>3</v>
      </c>
      <c r="N125" s="17" t="s">
        <v>400</v>
      </c>
      <c r="O125" s="19" t="s">
        <v>119</v>
      </c>
      <c r="P125" s="21"/>
    </row>
    <row r="126" customFormat="false" ht="32.8" hidden="false" customHeight="false" outlineLevel="0" collapsed="false">
      <c r="A126" s="16" t="s">
        <v>112</v>
      </c>
      <c r="B126" s="16" t="s">
        <v>90</v>
      </c>
      <c r="C126" s="17" t="s">
        <v>91</v>
      </c>
      <c r="D126" s="18" t="n">
        <v>46402</v>
      </c>
      <c r="E126" s="19" t="s">
        <v>70</v>
      </c>
      <c r="F126" s="16" t="s">
        <v>396</v>
      </c>
      <c r="G126" s="17" t="s">
        <v>397</v>
      </c>
      <c r="H126" s="18" t="n">
        <v>46360</v>
      </c>
      <c r="I126" s="19" t="s">
        <v>115</v>
      </c>
      <c r="J126" s="17" t="s">
        <v>401</v>
      </c>
      <c r="K126" s="20" t="s">
        <v>311</v>
      </c>
      <c r="L126" s="16" t="s">
        <v>118</v>
      </c>
      <c r="M126" s="20" t="n">
        <v>2</v>
      </c>
      <c r="N126" s="17" t="s">
        <v>402</v>
      </c>
      <c r="O126" s="19" t="s">
        <v>119</v>
      </c>
      <c r="P126" s="21"/>
    </row>
    <row r="127" customFormat="false" ht="32.8" hidden="false" customHeight="false" outlineLevel="0" collapsed="false">
      <c r="A127" s="16" t="s">
        <v>112</v>
      </c>
      <c r="B127" s="16" t="s">
        <v>90</v>
      </c>
      <c r="C127" s="17" t="s">
        <v>91</v>
      </c>
      <c r="D127" s="18" t="n">
        <v>46402</v>
      </c>
      <c r="E127" s="19" t="s">
        <v>70</v>
      </c>
      <c r="F127" s="16" t="s">
        <v>403</v>
      </c>
      <c r="G127" s="17" t="s">
        <v>404</v>
      </c>
      <c r="H127" s="18" t="n">
        <v>46374</v>
      </c>
      <c r="I127" s="19" t="s">
        <v>115</v>
      </c>
      <c r="J127" s="17" t="s">
        <v>405</v>
      </c>
      <c r="K127" s="20" t="s">
        <v>368</v>
      </c>
      <c r="L127" s="16" t="s">
        <v>118</v>
      </c>
      <c r="M127" s="20" t="n">
        <v>5</v>
      </c>
      <c r="N127" s="17" t="s">
        <v>400</v>
      </c>
      <c r="O127" s="19" t="s">
        <v>119</v>
      </c>
      <c r="P127" s="21"/>
    </row>
    <row r="128" customFormat="false" ht="32.8" hidden="false" customHeight="false" outlineLevel="0" collapsed="false">
      <c r="A128" s="16" t="s">
        <v>112</v>
      </c>
      <c r="B128" s="16" t="s">
        <v>90</v>
      </c>
      <c r="C128" s="17" t="s">
        <v>91</v>
      </c>
      <c r="D128" s="18" t="n">
        <v>46402</v>
      </c>
      <c r="E128" s="19" t="s">
        <v>70</v>
      </c>
      <c r="F128" s="16" t="s">
        <v>403</v>
      </c>
      <c r="G128" s="17" t="s">
        <v>404</v>
      </c>
      <c r="H128" s="18" t="n">
        <v>46374</v>
      </c>
      <c r="I128" s="19" t="s">
        <v>115</v>
      </c>
      <c r="J128" s="17" t="s">
        <v>406</v>
      </c>
      <c r="K128" s="20" t="s">
        <v>368</v>
      </c>
      <c r="L128" s="16" t="s">
        <v>118</v>
      </c>
      <c r="M128" s="20" t="n">
        <v>3</v>
      </c>
      <c r="N128" s="17" t="s">
        <v>407</v>
      </c>
      <c r="O128" s="19" t="s">
        <v>119</v>
      </c>
      <c r="P128" s="21"/>
    </row>
    <row r="129" customFormat="false" ht="32.8" hidden="false" customHeight="false" outlineLevel="0" collapsed="false">
      <c r="A129" s="16" t="s">
        <v>112</v>
      </c>
      <c r="B129" s="16" t="s">
        <v>90</v>
      </c>
      <c r="C129" s="17" t="s">
        <v>91</v>
      </c>
      <c r="D129" s="18" t="n">
        <v>46402</v>
      </c>
      <c r="E129" s="19" t="s">
        <v>70</v>
      </c>
      <c r="F129" s="16" t="s">
        <v>408</v>
      </c>
      <c r="G129" s="17" t="s">
        <v>409</v>
      </c>
      <c r="H129" s="18" t="n">
        <v>46402</v>
      </c>
      <c r="I129" s="19" t="s">
        <v>115</v>
      </c>
      <c r="J129" s="17" t="s">
        <v>410</v>
      </c>
      <c r="K129" s="20" t="s">
        <v>371</v>
      </c>
      <c r="L129" s="16" t="s">
        <v>118</v>
      </c>
      <c r="M129" s="20" t="n">
        <v>2</v>
      </c>
      <c r="N129" s="17" t="s">
        <v>407</v>
      </c>
      <c r="O129" s="19" t="s">
        <v>119</v>
      </c>
      <c r="P129" s="21"/>
    </row>
    <row r="130" customFormat="false" ht="32.8" hidden="false" customHeight="false" outlineLevel="0" collapsed="false">
      <c r="A130" s="16" t="s">
        <v>112</v>
      </c>
      <c r="B130" s="16" t="s">
        <v>90</v>
      </c>
      <c r="C130" s="17" t="s">
        <v>91</v>
      </c>
      <c r="D130" s="18" t="n">
        <v>46402</v>
      </c>
      <c r="E130" s="19" t="s">
        <v>70</v>
      </c>
      <c r="F130" s="16" t="s">
        <v>408</v>
      </c>
      <c r="G130" s="17" t="s">
        <v>409</v>
      </c>
      <c r="H130" s="18" t="n">
        <v>46402</v>
      </c>
      <c r="I130" s="19" t="s">
        <v>115</v>
      </c>
      <c r="J130" s="17" t="s">
        <v>411</v>
      </c>
      <c r="K130" s="20" t="s">
        <v>371</v>
      </c>
      <c r="L130" s="16" t="s">
        <v>118</v>
      </c>
      <c r="M130" s="20" t="n">
        <v>2</v>
      </c>
      <c r="N130" s="17" t="s">
        <v>407</v>
      </c>
      <c r="O130" s="19" t="s">
        <v>119</v>
      </c>
      <c r="P130" s="21"/>
    </row>
    <row r="131" customFormat="false" ht="32.8" hidden="false" customHeight="false" outlineLevel="0" collapsed="false">
      <c r="A131" s="16" t="s">
        <v>112</v>
      </c>
      <c r="B131" s="16" t="s">
        <v>93</v>
      </c>
      <c r="C131" s="17" t="s">
        <v>94</v>
      </c>
      <c r="D131" s="18" t="n">
        <v>46402</v>
      </c>
      <c r="E131" s="19" t="s">
        <v>70</v>
      </c>
      <c r="F131" s="16" t="s">
        <v>412</v>
      </c>
      <c r="G131" s="17" t="s">
        <v>413</v>
      </c>
      <c r="H131" s="18" t="n">
        <v>46318</v>
      </c>
      <c r="I131" s="19" t="s">
        <v>115</v>
      </c>
      <c r="J131" s="17" t="s">
        <v>414</v>
      </c>
      <c r="K131" s="20" t="s">
        <v>131</v>
      </c>
      <c r="L131" s="16" t="s">
        <v>118</v>
      </c>
      <c r="M131" s="20" t="n">
        <v>3</v>
      </c>
      <c r="N131" s="17" t="s">
        <v>200</v>
      </c>
      <c r="O131" s="19" t="s">
        <v>119</v>
      </c>
      <c r="P131" s="21"/>
    </row>
    <row r="132" customFormat="false" ht="32.8" hidden="false" customHeight="false" outlineLevel="0" collapsed="false">
      <c r="A132" s="16" t="s">
        <v>112</v>
      </c>
      <c r="B132" s="16" t="s">
        <v>93</v>
      </c>
      <c r="C132" s="17" t="s">
        <v>94</v>
      </c>
      <c r="D132" s="18" t="n">
        <v>46402</v>
      </c>
      <c r="E132" s="19" t="s">
        <v>70</v>
      </c>
      <c r="F132" s="16" t="s">
        <v>412</v>
      </c>
      <c r="G132" s="17" t="s">
        <v>413</v>
      </c>
      <c r="H132" s="18" t="n">
        <v>46318</v>
      </c>
      <c r="I132" s="19" t="s">
        <v>115</v>
      </c>
      <c r="J132" s="17" t="s">
        <v>415</v>
      </c>
      <c r="K132" s="20" t="s">
        <v>131</v>
      </c>
      <c r="L132" s="16" t="s">
        <v>118</v>
      </c>
      <c r="M132" s="20" t="n">
        <v>2</v>
      </c>
      <c r="N132" s="17" t="s">
        <v>416</v>
      </c>
      <c r="O132" s="19" t="s">
        <v>119</v>
      </c>
      <c r="P132" s="21"/>
    </row>
    <row r="133" customFormat="false" ht="32.8" hidden="false" customHeight="false" outlineLevel="0" collapsed="false">
      <c r="A133" s="16" t="s">
        <v>112</v>
      </c>
      <c r="B133" s="16" t="s">
        <v>93</v>
      </c>
      <c r="C133" s="17" t="s">
        <v>94</v>
      </c>
      <c r="D133" s="18" t="n">
        <v>46402</v>
      </c>
      <c r="E133" s="19" t="s">
        <v>70</v>
      </c>
      <c r="F133" s="16" t="s">
        <v>412</v>
      </c>
      <c r="G133" s="17" t="s">
        <v>413</v>
      </c>
      <c r="H133" s="18" t="n">
        <v>46318</v>
      </c>
      <c r="I133" s="19" t="s">
        <v>115</v>
      </c>
      <c r="J133" s="17" t="s">
        <v>417</v>
      </c>
      <c r="K133" s="20" t="s">
        <v>131</v>
      </c>
      <c r="L133" s="16" t="s">
        <v>118</v>
      </c>
      <c r="M133" s="20" t="n">
        <v>3</v>
      </c>
      <c r="N133" s="17" t="s">
        <v>418</v>
      </c>
      <c r="O133" s="19" t="s">
        <v>119</v>
      </c>
      <c r="P133" s="21"/>
    </row>
    <row r="134" customFormat="false" ht="22.35" hidden="false" customHeight="false" outlineLevel="0" collapsed="false">
      <c r="A134" s="16" t="s">
        <v>112</v>
      </c>
      <c r="B134" s="16" t="s">
        <v>93</v>
      </c>
      <c r="C134" s="17" t="s">
        <v>94</v>
      </c>
      <c r="D134" s="18" t="n">
        <v>46402</v>
      </c>
      <c r="E134" s="19" t="s">
        <v>70</v>
      </c>
      <c r="F134" s="16" t="s">
        <v>419</v>
      </c>
      <c r="G134" s="17" t="s">
        <v>420</v>
      </c>
      <c r="H134" s="18" t="n">
        <v>46346</v>
      </c>
      <c r="I134" s="19" t="s">
        <v>115</v>
      </c>
      <c r="J134" s="17" t="s">
        <v>421</v>
      </c>
      <c r="K134" s="20" t="s">
        <v>220</v>
      </c>
      <c r="L134" s="16" t="s">
        <v>118</v>
      </c>
      <c r="M134" s="20" t="n">
        <v>2</v>
      </c>
      <c r="N134" s="17" t="s">
        <v>412</v>
      </c>
      <c r="O134" s="19" t="s">
        <v>119</v>
      </c>
      <c r="P134" s="21"/>
    </row>
    <row r="135" customFormat="false" ht="22.35" hidden="false" customHeight="false" outlineLevel="0" collapsed="false">
      <c r="A135" s="16" t="s">
        <v>112</v>
      </c>
      <c r="B135" s="16" t="s">
        <v>93</v>
      </c>
      <c r="C135" s="17" t="s">
        <v>94</v>
      </c>
      <c r="D135" s="18" t="n">
        <v>46402</v>
      </c>
      <c r="E135" s="19" t="s">
        <v>70</v>
      </c>
      <c r="F135" s="16" t="s">
        <v>419</v>
      </c>
      <c r="G135" s="17" t="s">
        <v>420</v>
      </c>
      <c r="H135" s="18" t="n">
        <v>46346</v>
      </c>
      <c r="I135" s="19" t="s">
        <v>115</v>
      </c>
      <c r="J135" s="17" t="s">
        <v>422</v>
      </c>
      <c r="K135" s="20" t="s">
        <v>220</v>
      </c>
      <c r="L135" s="16" t="s">
        <v>118</v>
      </c>
      <c r="M135" s="20" t="n">
        <v>5</v>
      </c>
      <c r="N135" s="17" t="s">
        <v>423</v>
      </c>
      <c r="O135" s="19" t="s">
        <v>119</v>
      </c>
      <c r="P135" s="21"/>
    </row>
    <row r="136" customFormat="false" ht="22.35" hidden="false" customHeight="false" outlineLevel="0" collapsed="false">
      <c r="A136" s="16" t="s">
        <v>112</v>
      </c>
      <c r="B136" s="16" t="s">
        <v>93</v>
      </c>
      <c r="C136" s="17" t="s">
        <v>94</v>
      </c>
      <c r="D136" s="18" t="n">
        <v>46402</v>
      </c>
      <c r="E136" s="19" t="s">
        <v>70</v>
      </c>
      <c r="F136" s="16" t="s">
        <v>419</v>
      </c>
      <c r="G136" s="17" t="s">
        <v>420</v>
      </c>
      <c r="H136" s="18" t="n">
        <v>46346</v>
      </c>
      <c r="I136" s="19" t="s">
        <v>115</v>
      </c>
      <c r="J136" s="17" t="s">
        <v>424</v>
      </c>
      <c r="K136" s="20" t="s">
        <v>220</v>
      </c>
      <c r="L136" s="16" t="s">
        <v>118</v>
      </c>
      <c r="M136" s="20" t="n">
        <v>2</v>
      </c>
      <c r="N136" s="17" t="s">
        <v>425</v>
      </c>
      <c r="O136" s="19" t="s">
        <v>119</v>
      </c>
      <c r="P136" s="21"/>
    </row>
    <row r="137" customFormat="false" ht="32.8" hidden="false" customHeight="false" outlineLevel="0" collapsed="false">
      <c r="A137" s="16" t="s">
        <v>112</v>
      </c>
      <c r="B137" s="16" t="s">
        <v>93</v>
      </c>
      <c r="C137" s="17" t="s">
        <v>94</v>
      </c>
      <c r="D137" s="18" t="n">
        <v>46402</v>
      </c>
      <c r="E137" s="19" t="s">
        <v>70</v>
      </c>
      <c r="F137" s="16" t="s">
        <v>426</v>
      </c>
      <c r="G137" s="17" t="s">
        <v>427</v>
      </c>
      <c r="H137" s="18" t="n">
        <v>46360</v>
      </c>
      <c r="I137" s="19" t="s">
        <v>115</v>
      </c>
      <c r="J137" s="17" t="s">
        <v>428</v>
      </c>
      <c r="K137" s="20" t="s">
        <v>311</v>
      </c>
      <c r="L137" s="16" t="s">
        <v>118</v>
      </c>
      <c r="M137" s="20" t="n">
        <v>4</v>
      </c>
      <c r="N137" s="17" t="s">
        <v>400</v>
      </c>
      <c r="O137" s="19" t="s">
        <v>119</v>
      </c>
      <c r="P137" s="21"/>
    </row>
    <row r="138" customFormat="false" ht="32.8" hidden="false" customHeight="false" outlineLevel="0" collapsed="false">
      <c r="A138" s="16" t="s">
        <v>112</v>
      </c>
      <c r="B138" s="16" t="s">
        <v>93</v>
      </c>
      <c r="C138" s="17" t="s">
        <v>94</v>
      </c>
      <c r="D138" s="18" t="n">
        <v>46402</v>
      </c>
      <c r="E138" s="19" t="s">
        <v>70</v>
      </c>
      <c r="F138" s="16" t="s">
        <v>426</v>
      </c>
      <c r="G138" s="17" t="s">
        <v>427</v>
      </c>
      <c r="H138" s="18" t="n">
        <v>46360</v>
      </c>
      <c r="I138" s="19" t="s">
        <v>115</v>
      </c>
      <c r="J138" s="17" t="s">
        <v>429</v>
      </c>
      <c r="K138" s="20" t="s">
        <v>311</v>
      </c>
      <c r="L138" s="16" t="s">
        <v>118</v>
      </c>
      <c r="M138" s="20" t="n">
        <v>3</v>
      </c>
      <c r="N138" s="17" t="s">
        <v>430</v>
      </c>
      <c r="O138" s="19" t="s">
        <v>119</v>
      </c>
      <c r="P138" s="21"/>
    </row>
    <row r="139" customFormat="false" ht="32.8" hidden="false" customHeight="false" outlineLevel="0" collapsed="false">
      <c r="A139" s="16" t="s">
        <v>112</v>
      </c>
      <c r="B139" s="16" t="s">
        <v>93</v>
      </c>
      <c r="C139" s="17" t="s">
        <v>94</v>
      </c>
      <c r="D139" s="18" t="n">
        <v>46402</v>
      </c>
      <c r="E139" s="19" t="s">
        <v>70</v>
      </c>
      <c r="F139" s="16" t="s">
        <v>426</v>
      </c>
      <c r="G139" s="17" t="s">
        <v>427</v>
      </c>
      <c r="H139" s="18" t="n">
        <v>46360</v>
      </c>
      <c r="I139" s="19" t="s">
        <v>115</v>
      </c>
      <c r="J139" s="17" t="s">
        <v>431</v>
      </c>
      <c r="K139" s="20" t="s">
        <v>311</v>
      </c>
      <c r="L139" s="16" t="s">
        <v>118</v>
      </c>
      <c r="M139" s="20" t="n">
        <v>3</v>
      </c>
      <c r="N139" s="17" t="s">
        <v>432</v>
      </c>
      <c r="O139" s="19" t="s">
        <v>119</v>
      </c>
      <c r="P139" s="21"/>
    </row>
    <row r="140" customFormat="false" ht="32.8" hidden="false" customHeight="false" outlineLevel="0" collapsed="false">
      <c r="A140" s="16" t="s">
        <v>112</v>
      </c>
      <c r="B140" s="16" t="s">
        <v>93</v>
      </c>
      <c r="C140" s="17" t="s">
        <v>94</v>
      </c>
      <c r="D140" s="18" t="n">
        <v>46402</v>
      </c>
      <c r="E140" s="19" t="s">
        <v>70</v>
      </c>
      <c r="F140" s="16" t="s">
        <v>426</v>
      </c>
      <c r="G140" s="17" t="s">
        <v>427</v>
      </c>
      <c r="H140" s="18" t="n">
        <v>46360</v>
      </c>
      <c r="I140" s="19" t="s">
        <v>115</v>
      </c>
      <c r="J140" s="17" t="s">
        <v>433</v>
      </c>
      <c r="K140" s="20" t="s">
        <v>311</v>
      </c>
      <c r="L140" s="16" t="s">
        <v>118</v>
      </c>
      <c r="M140" s="20" t="n">
        <v>2</v>
      </c>
      <c r="N140" s="17" t="s">
        <v>434</v>
      </c>
      <c r="O140" s="19" t="s">
        <v>119</v>
      </c>
      <c r="P140" s="21"/>
    </row>
    <row r="141" customFormat="false" ht="22.35" hidden="false" customHeight="false" outlineLevel="0" collapsed="false">
      <c r="A141" s="16" t="s">
        <v>112</v>
      </c>
      <c r="B141" s="16" t="s">
        <v>93</v>
      </c>
      <c r="C141" s="17" t="s">
        <v>94</v>
      </c>
      <c r="D141" s="18" t="n">
        <v>46402</v>
      </c>
      <c r="E141" s="19" t="s">
        <v>70</v>
      </c>
      <c r="F141" s="16" t="s">
        <v>435</v>
      </c>
      <c r="G141" s="17" t="s">
        <v>436</v>
      </c>
      <c r="H141" s="18" t="n">
        <v>46374</v>
      </c>
      <c r="I141" s="19" t="s">
        <v>115</v>
      </c>
      <c r="J141" s="17" t="s">
        <v>437</v>
      </c>
      <c r="K141" s="20" t="s">
        <v>368</v>
      </c>
      <c r="L141" s="16" t="s">
        <v>118</v>
      </c>
      <c r="M141" s="20" t="n">
        <v>5</v>
      </c>
      <c r="N141" s="17" t="s">
        <v>438</v>
      </c>
      <c r="O141" s="19" t="s">
        <v>119</v>
      </c>
      <c r="P141" s="21"/>
    </row>
    <row r="142" customFormat="false" ht="22.35" hidden="false" customHeight="false" outlineLevel="0" collapsed="false">
      <c r="A142" s="16" t="s">
        <v>112</v>
      </c>
      <c r="B142" s="16" t="s">
        <v>93</v>
      </c>
      <c r="C142" s="17" t="s">
        <v>94</v>
      </c>
      <c r="D142" s="18" t="n">
        <v>46402</v>
      </c>
      <c r="E142" s="19" t="s">
        <v>70</v>
      </c>
      <c r="F142" s="16" t="s">
        <v>435</v>
      </c>
      <c r="G142" s="17" t="s">
        <v>436</v>
      </c>
      <c r="H142" s="18" t="n">
        <v>46374</v>
      </c>
      <c r="I142" s="19" t="s">
        <v>115</v>
      </c>
      <c r="J142" s="17" t="s">
        <v>439</v>
      </c>
      <c r="K142" s="20" t="s">
        <v>368</v>
      </c>
      <c r="L142" s="16" t="s">
        <v>118</v>
      </c>
      <c r="M142" s="20" t="n">
        <v>3</v>
      </c>
      <c r="N142" s="17" t="s">
        <v>440</v>
      </c>
      <c r="O142" s="19" t="s">
        <v>119</v>
      </c>
      <c r="P142" s="21"/>
    </row>
    <row r="143" customFormat="false" ht="22.35" hidden="false" customHeight="false" outlineLevel="0" collapsed="false">
      <c r="A143" s="16" t="s">
        <v>112</v>
      </c>
      <c r="B143" s="16" t="s">
        <v>93</v>
      </c>
      <c r="C143" s="17" t="s">
        <v>94</v>
      </c>
      <c r="D143" s="18" t="n">
        <v>46402</v>
      </c>
      <c r="E143" s="19" t="s">
        <v>70</v>
      </c>
      <c r="F143" s="16" t="s">
        <v>435</v>
      </c>
      <c r="G143" s="17" t="s">
        <v>436</v>
      </c>
      <c r="H143" s="18" t="n">
        <v>46374</v>
      </c>
      <c r="I143" s="19" t="s">
        <v>115</v>
      </c>
      <c r="J143" s="17" t="s">
        <v>192</v>
      </c>
      <c r="K143" s="20" t="s">
        <v>368</v>
      </c>
      <c r="L143" s="16" t="s">
        <v>118</v>
      </c>
      <c r="M143" s="20" t="n">
        <v>2</v>
      </c>
      <c r="N143" s="17" t="s">
        <v>440</v>
      </c>
      <c r="O143" s="19" t="s">
        <v>119</v>
      </c>
      <c r="P143" s="21"/>
    </row>
    <row r="144" customFormat="false" ht="32.8" hidden="false" customHeight="false" outlineLevel="0" collapsed="false">
      <c r="A144" s="16" t="s">
        <v>112</v>
      </c>
      <c r="B144" s="16" t="s">
        <v>96</v>
      </c>
      <c r="C144" s="17" t="s">
        <v>97</v>
      </c>
      <c r="D144" s="18" t="n">
        <v>46500</v>
      </c>
      <c r="E144" s="19" t="s">
        <v>70</v>
      </c>
      <c r="F144" s="16" t="s">
        <v>441</v>
      </c>
      <c r="G144" s="17" t="s">
        <v>442</v>
      </c>
      <c r="H144" s="18" t="n">
        <v>46318</v>
      </c>
      <c r="I144" s="19" t="s">
        <v>115</v>
      </c>
      <c r="J144" s="17" t="s">
        <v>443</v>
      </c>
      <c r="K144" s="20" t="s">
        <v>131</v>
      </c>
      <c r="L144" s="16" t="s">
        <v>118</v>
      </c>
      <c r="M144" s="20" t="n">
        <v>3</v>
      </c>
      <c r="N144" s="17"/>
      <c r="O144" s="19" t="s">
        <v>119</v>
      </c>
      <c r="P144" s="21"/>
    </row>
    <row r="145" customFormat="false" ht="32.8" hidden="false" customHeight="false" outlineLevel="0" collapsed="false">
      <c r="A145" s="16" t="s">
        <v>112</v>
      </c>
      <c r="B145" s="16" t="s">
        <v>96</v>
      </c>
      <c r="C145" s="17" t="s">
        <v>97</v>
      </c>
      <c r="D145" s="18" t="n">
        <v>46500</v>
      </c>
      <c r="E145" s="19" t="s">
        <v>70</v>
      </c>
      <c r="F145" s="16" t="s">
        <v>441</v>
      </c>
      <c r="G145" s="17" t="s">
        <v>442</v>
      </c>
      <c r="H145" s="18" t="n">
        <v>46318</v>
      </c>
      <c r="I145" s="19" t="s">
        <v>115</v>
      </c>
      <c r="J145" s="17" t="s">
        <v>444</v>
      </c>
      <c r="K145" s="20" t="s">
        <v>131</v>
      </c>
      <c r="L145" s="16" t="s">
        <v>118</v>
      </c>
      <c r="M145" s="20" t="n">
        <v>3</v>
      </c>
      <c r="N145" s="17" t="s">
        <v>445</v>
      </c>
      <c r="O145" s="19" t="s">
        <v>119</v>
      </c>
      <c r="P145" s="21"/>
    </row>
    <row r="146" customFormat="false" ht="32.8" hidden="false" customHeight="false" outlineLevel="0" collapsed="false">
      <c r="A146" s="16" t="s">
        <v>112</v>
      </c>
      <c r="B146" s="16" t="s">
        <v>96</v>
      </c>
      <c r="C146" s="17" t="s">
        <v>97</v>
      </c>
      <c r="D146" s="18" t="n">
        <v>46500</v>
      </c>
      <c r="E146" s="19" t="s">
        <v>70</v>
      </c>
      <c r="F146" s="16" t="s">
        <v>441</v>
      </c>
      <c r="G146" s="17" t="s">
        <v>442</v>
      </c>
      <c r="H146" s="18" t="n">
        <v>46318</v>
      </c>
      <c r="I146" s="19" t="s">
        <v>115</v>
      </c>
      <c r="J146" s="17" t="s">
        <v>446</v>
      </c>
      <c r="K146" s="20" t="s">
        <v>131</v>
      </c>
      <c r="L146" s="16" t="s">
        <v>118</v>
      </c>
      <c r="M146" s="20" t="n">
        <v>2</v>
      </c>
      <c r="N146" s="17" t="s">
        <v>185</v>
      </c>
      <c r="O146" s="19" t="s">
        <v>119</v>
      </c>
      <c r="P146" s="21"/>
    </row>
    <row r="147" customFormat="false" ht="22.35" hidden="false" customHeight="false" outlineLevel="0" collapsed="false">
      <c r="A147" s="16" t="s">
        <v>112</v>
      </c>
      <c r="B147" s="16" t="s">
        <v>96</v>
      </c>
      <c r="C147" s="17" t="s">
        <v>97</v>
      </c>
      <c r="D147" s="18" t="n">
        <v>46500</v>
      </c>
      <c r="E147" s="19" t="s">
        <v>70</v>
      </c>
      <c r="F147" s="16" t="s">
        <v>447</v>
      </c>
      <c r="G147" s="17" t="s">
        <v>448</v>
      </c>
      <c r="H147" s="18" t="n">
        <v>46500</v>
      </c>
      <c r="I147" s="19" t="s">
        <v>115</v>
      </c>
      <c r="J147" s="17" t="s">
        <v>449</v>
      </c>
      <c r="K147" s="20" t="s">
        <v>389</v>
      </c>
      <c r="L147" s="16" t="s">
        <v>118</v>
      </c>
      <c r="M147" s="20" t="n">
        <v>2</v>
      </c>
      <c r="N147" s="17" t="s">
        <v>450</v>
      </c>
      <c r="O147" s="19" t="s">
        <v>119</v>
      </c>
      <c r="P147" s="21"/>
    </row>
    <row r="148" customFormat="false" ht="22.35" hidden="false" customHeight="false" outlineLevel="0" collapsed="false">
      <c r="A148" s="16" t="s">
        <v>112</v>
      </c>
      <c r="B148" s="16" t="s">
        <v>96</v>
      </c>
      <c r="C148" s="17" t="s">
        <v>97</v>
      </c>
      <c r="D148" s="18" t="n">
        <v>46500</v>
      </c>
      <c r="E148" s="19" t="s">
        <v>70</v>
      </c>
      <c r="F148" s="16" t="s">
        <v>447</v>
      </c>
      <c r="G148" s="17" t="s">
        <v>448</v>
      </c>
      <c r="H148" s="18" t="n">
        <v>46500</v>
      </c>
      <c r="I148" s="19" t="s">
        <v>115</v>
      </c>
      <c r="J148" s="17" t="s">
        <v>451</v>
      </c>
      <c r="K148" s="20" t="s">
        <v>452</v>
      </c>
      <c r="L148" s="16" t="s">
        <v>118</v>
      </c>
      <c r="M148" s="20" t="n">
        <v>10</v>
      </c>
      <c r="N148" s="17" t="s">
        <v>453</v>
      </c>
      <c r="O148" s="19" t="s">
        <v>119</v>
      </c>
      <c r="P148" s="21"/>
    </row>
    <row r="149" customFormat="false" ht="22.35" hidden="false" customHeight="false" outlineLevel="0" collapsed="false">
      <c r="A149" s="16" t="s">
        <v>112</v>
      </c>
      <c r="B149" s="16" t="s">
        <v>96</v>
      </c>
      <c r="C149" s="17" t="s">
        <v>97</v>
      </c>
      <c r="D149" s="18" t="n">
        <v>46500</v>
      </c>
      <c r="E149" s="19" t="s">
        <v>70</v>
      </c>
      <c r="F149" s="16" t="s">
        <v>447</v>
      </c>
      <c r="G149" s="17" t="s">
        <v>448</v>
      </c>
      <c r="H149" s="18" t="n">
        <v>46500</v>
      </c>
      <c r="I149" s="19" t="s">
        <v>115</v>
      </c>
      <c r="J149" s="17" t="s">
        <v>454</v>
      </c>
      <c r="K149" s="20" t="s">
        <v>455</v>
      </c>
      <c r="L149" s="16" t="s">
        <v>118</v>
      </c>
      <c r="M149" s="20" t="n">
        <v>4</v>
      </c>
      <c r="N149" s="17" t="s">
        <v>456</v>
      </c>
      <c r="O149" s="19" t="s">
        <v>119</v>
      </c>
      <c r="P149" s="21"/>
    </row>
    <row r="150" customFormat="false" ht="32.8" hidden="false" customHeight="false" outlineLevel="0" collapsed="false">
      <c r="A150" s="16" t="s">
        <v>112</v>
      </c>
      <c r="B150" s="16" t="s">
        <v>99</v>
      </c>
      <c r="C150" s="17" t="s">
        <v>100</v>
      </c>
      <c r="D150" s="18" t="n">
        <v>46556</v>
      </c>
      <c r="E150" s="19" t="s">
        <v>70</v>
      </c>
      <c r="F150" s="16" t="s">
        <v>457</v>
      </c>
      <c r="G150" s="17" t="s">
        <v>458</v>
      </c>
      <c r="H150" s="18" t="n">
        <v>46514</v>
      </c>
      <c r="I150" s="19" t="s">
        <v>115</v>
      </c>
      <c r="J150" s="17" t="s">
        <v>459</v>
      </c>
      <c r="K150" s="20" t="s">
        <v>452</v>
      </c>
      <c r="L150" s="16" t="s">
        <v>118</v>
      </c>
      <c r="M150" s="20" t="n">
        <v>3</v>
      </c>
      <c r="N150" s="17" t="s">
        <v>390</v>
      </c>
      <c r="O150" s="19" t="s">
        <v>119</v>
      </c>
      <c r="P150" s="21"/>
    </row>
    <row r="151" customFormat="false" ht="32.8" hidden="false" customHeight="false" outlineLevel="0" collapsed="false">
      <c r="A151" s="16" t="s">
        <v>112</v>
      </c>
      <c r="B151" s="16" t="s">
        <v>99</v>
      </c>
      <c r="C151" s="17" t="s">
        <v>100</v>
      </c>
      <c r="D151" s="18" t="n">
        <v>46556</v>
      </c>
      <c r="E151" s="19" t="s">
        <v>70</v>
      </c>
      <c r="F151" s="16" t="s">
        <v>457</v>
      </c>
      <c r="G151" s="17" t="s">
        <v>458</v>
      </c>
      <c r="H151" s="18" t="n">
        <v>46514</v>
      </c>
      <c r="I151" s="19" t="s">
        <v>115</v>
      </c>
      <c r="J151" s="17" t="s">
        <v>460</v>
      </c>
      <c r="K151" s="20" t="s">
        <v>455</v>
      </c>
      <c r="L151" s="16" t="s">
        <v>118</v>
      </c>
      <c r="M151" s="20" t="n">
        <v>3</v>
      </c>
      <c r="N151" s="17" t="s">
        <v>461</v>
      </c>
      <c r="O151" s="19" t="s">
        <v>119</v>
      </c>
      <c r="P151" s="21"/>
    </row>
    <row r="152" customFormat="false" ht="32.8" hidden="false" customHeight="false" outlineLevel="0" collapsed="false">
      <c r="A152" s="16" t="s">
        <v>112</v>
      </c>
      <c r="B152" s="16" t="s">
        <v>99</v>
      </c>
      <c r="C152" s="17" t="s">
        <v>100</v>
      </c>
      <c r="D152" s="18" t="n">
        <v>46556</v>
      </c>
      <c r="E152" s="19" t="s">
        <v>70</v>
      </c>
      <c r="F152" s="16" t="s">
        <v>457</v>
      </c>
      <c r="G152" s="17" t="s">
        <v>458</v>
      </c>
      <c r="H152" s="18" t="n">
        <v>46514</v>
      </c>
      <c r="I152" s="19" t="s">
        <v>115</v>
      </c>
      <c r="J152" s="17" t="s">
        <v>462</v>
      </c>
      <c r="K152" s="20" t="s">
        <v>455</v>
      </c>
      <c r="L152" s="16" t="s">
        <v>118</v>
      </c>
      <c r="M152" s="20" t="n">
        <v>3</v>
      </c>
      <c r="N152" s="17"/>
      <c r="O152" s="19" t="s">
        <v>119</v>
      </c>
      <c r="P152" s="21"/>
    </row>
    <row r="153" customFormat="false" ht="32.8" hidden="false" customHeight="false" outlineLevel="0" collapsed="false">
      <c r="A153" s="16" t="s">
        <v>112</v>
      </c>
      <c r="B153" s="16" t="s">
        <v>99</v>
      </c>
      <c r="C153" s="17" t="s">
        <v>100</v>
      </c>
      <c r="D153" s="18" t="n">
        <v>46556</v>
      </c>
      <c r="E153" s="19" t="s">
        <v>70</v>
      </c>
      <c r="F153" s="16" t="s">
        <v>457</v>
      </c>
      <c r="G153" s="17" t="s">
        <v>458</v>
      </c>
      <c r="H153" s="18" t="n">
        <v>46514</v>
      </c>
      <c r="I153" s="19" t="s">
        <v>115</v>
      </c>
      <c r="J153" s="17" t="s">
        <v>463</v>
      </c>
      <c r="K153" s="20" t="s">
        <v>464</v>
      </c>
      <c r="L153" s="16" t="s">
        <v>118</v>
      </c>
      <c r="M153" s="20" t="n">
        <v>5</v>
      </c>
      <c r="N153" s="17" t="s">
        <v>465</v>
      </c>
      <c r="O153" s="19" t="s">
        <v>119</v>
      </c>
      <c r="P153" s="21"/>
    </row>
    <row r="154" customFormat="false" ht="32.8" hidden="false" customHeight="false" outlineLevel="0" collapsed="false">
      <c r="A154" s="16" t="s">
        <v>112</v>
      </c>
      <c r="B154" s="16" t="s">
        <v>99</v>
      </c>
      <c r="C154" s="17" t="s">
        <v>100</v>
      </c>
      <c r="D154" s="18" t="n">
        <v>46556</v>
      </c>
      <c r="E154" s="19" t="s">
        <v>70</v>
      </c>
      <c r="F154" s="16" t="s">
        <v>466</v>
      </c>
      <c r="G154" s="17" t="s">
        <v>467</v>
      </c>
      <c r="H154" s="18" t="n">
        <v>46556</v>
      </c>
      <c r="I154" s="19" t="s">
        <v>115</v>
      </c>
      <c r="J154" s="17" t="s">
        <v>468</v>
      </c>
      <c r="K154" s="20" t="s">
        <v>464</v>
      </c>
      <c r="L154" s="16" t="s">
        <v>118</v>
      </c>
      <c r="M154" s="20" t="n">
        <v>3</v>
      </c>
      <c r="N154" s="17" t="s">
        <v>469</v>
      </c>
      <c r="O154" s="19" t="s">
        <v>119</v>
      </c>
      <c r="P154" s="21"/>
    </row>
    <row r="155" customFormat="false" ht="32.8" hidden="false" customHeight="false" outlineLevel="0" collapsed="false">
      <c r="A155" s="16" t="s">
        <v>112</v>
      </c>
      <c r="B155" s="16" t="s">
        <v>99</v>
      </c>
      <c r="C155" s="17" t="s">
        <v>100</v>
      </c>
      <c r="D155" s="18" t="n">
        <v>46556</v>
      </c>
      <c r="E155" s="19" t="s">
        <v>70</v>
      </c>
      <c r="F155" s="16" t="s">
        <v>466</v>
      </c>
      <c r="G155" s="17" t="s">
        <v>467</v>
      </c>
      <c r="H155" s="18" t="n">
        <v>46556</v>
      </c>
      <c r="I155" s="19" t="s">
        <v>115</v>
      </c>
      <c r="J155" s="17" t="s">
        <v>470</v>
      </c>
      <c r="K155" s="20" t="s">
        <v>464</v>
      </c>
      <c r="L155" s="16" t="s">
        <v>118</v>
      </c>
      <c r="M155" s="20" t="n">
        <v>1</v>
      </c>
      <c r="N155" s="17" t="s">
        <v>471</v>
      </c>
      <c r="O155" s="19" t="s">
        <v>119</v>
      </c>
      <c r="P155" s="21"/>
    </row>
    <row r="156" customFormat="false" ht="32.8" hidden="false" customHeight="false" outlineLevel="0" collapsed="false">
      <c r="A156" s="16" t="s">
        <v>112</v>
      </c>
      <c r="B156" s="16" t="s">
        <v>99</v>
      </c>
      <c r="C156" s="17" t="s">
        <v>100</v>
      </c>
      <c r="D156" s="18" t="n">
        <v>46556</v>
      </c>
      <c r="E156" s="19" t="s">
        <v>70</v>
      </c>
      <c r="F156" s="16" t="s">
        <v>466</v>
      </c>
      <c r="G156" s="17" t="s">
        <v>467</v>
      </c>
      <c r="H156" s="18" t="n">
        <v>46556</v>
      </c>
      <c r="I156" s="19" t="s">
        <v>115</v>
      </c>
      <c r="J156" s="17" t="s">
        <v>472</v>
      </c>
      <c r="K156" s="20" t="s">
        <v>386</v>
      </c>
      <c r="L156" s="16" t="s">
        <v>118</v>
      </c>
      <c r="M156" s="20" t="n">
        <v>4</v>
      </c>
      <c r="N156" s="17" t="s">
        <v>473</v>
      </c>
      <c r="O156" s="19" t="s">
        <v>119</v>
      </c>
      <c r="P156" s="21"/>
    </row>
    <row r="157" customFormat="false" ht="32.8" hidden="false" customHeight="false" outlineLevel="0" collapsed="false">
      <c r="A157" s="16" t="s">
        <v>112</v>
      </c>
      <c r="B157" s="16" t="s">
        <v>99</v>
      </c>
      <c r="C157" s="17" t="s">
        <v>100</v>
      </c>
      <c r="D157" s="18" t="n">
        <v>46556</v>
      </c>
      <c r="E157" s="19" t="s">
        <v>70</v>
      </c>
      <c r="F157" s="16" t="s">
        <v>466</v>
      </c>
      <c r="G157" s="17" t="s">
        <v>467</v>
      </c>
      <c r="H157" s="18" t="n">
        <v>46556</v>
      </c>
      <c r="I157" s="19" t="s">
        <v>115</v>
      </c>
      <c r="J157" s="17" t="s">
        <v>474</v>
      </c>
      <c r="K157" s="20" t="s">
        <v>475</v>
      </c>
      <c r="L157" s="16" t="s">
        <v>118</v>
      </c>
      <c r="M157" s="20" t="n">
        <v>5</v>
      </c>
      <c r="N157" s="17" t="s">
        <v>476</v>
      </c>
      <c r="O157" s="19" t="s">
        <v>119</v>
      </c>
      <c r="P157" s="21"/>
    </row>
    <row r="158" customFormat="false" ht="15" hidden="false" customHeight="false" outlineLevel="0" collapsed="false">
      <c r="A158" s="16" t="s">
        <v>112</v>
      </c>
      <c r="B158" s="16" t="s">
        <v>102</v>
      </c>
      <c r="C158" s="17"/>
      <c r="D158" s="18"/>
      <c r="E158" s="19"/>
      <c r="F158" s="16" t="s">
        <v>477</v>
      </c>
      <c r="G158" s="17" t="s">
        <v>478</v>
      </c>
      <c r="H158" s="18" t="n">
        <v>46276</v>
      </c>
      <c r="I158" s="19" t="s">
        <v>115</v>
      </c>
      <c r="J158" s="17" t="s">
        <v>479</v>
      </c>
      <c r="K158" s="20" t="s">
        <v>117</v>
      </c>
      <c r="L158" s="16" t="s">
        <v>118</v>
      </c>
      <c r="M158" s="20" t="n">
        <v>1</v>
      </c>
      <c r="N158" s="17"/>
      <c r="O158" s="19" t="s">
        <v>119</v>
      </c>
      <c r="P158" s="21"/>
    </row>
    <row r="159" customFormat="false" ht="15" hidden="false" customHeight="false" outlineLevel="0" collapsed="false">
      <c r="A159" s="16" t="s">
        <v>112</v>
      </c>
      <c r="B159" s="16" t="s">
        <v>102</v>
      </c>
      <c r="C159" s="17"/>
      <c r="D159" s="18"/>
      <c r="E159" s="19"/>
      <c r="F159" s="16" t="s">
        <v>480</v>
      </c>
      <c r="G159" s="17" t="s">
        <v>481</v>
      </c>
      <c r="H159" s="18"/>
      <c r="I159" s="19" t="s">
        <v>115</v>
      </c>
      <c r="J159" s="17" t="s">
        <v>482</v>
      </c>
      <c r="K159" s="20" t="s">
        <v>483</v>
      </c>
      <c r="L159" s="16" t="s">
        <v>118</v>
      </c>
      <c r="M159" s="20" t="n">
        <v>3</v>
      </c>
      <c r="N159" s="17" t="s">
        <v>477</v>
      </c>
      <c r="O159" s="19" t="s">
        <v>119</v>
      </c>
      <c r="P159" s="21"/>
    </row>
    <row r="160" customFormat="false" ht="15" hidden="false" customHeight="false" outlineLevel="0" collapsed="false">
      <c r="A160" s="16" t="s">
        <v>112</v>
      </c>
      <c r="B160" s="16" t="s">
        <v>102</v>
      </c>
      <c r="C160" s="17"/>
      <c r="D160" s="18"/>
      <c r="E160" s="19"/>
      <c r="F160" s="16" t="s">
        <v>480</v>
      </c>
      <c r="G160" s="17" t="s">
        <v>481</v>
      </c>
      <c r="H160" s="18"/>
      <c r="I160" s="19" t="s">
        <v>115</v>
      </c>
      <c r="J160" s="17" t="s">
        <v>484</v>
      </c>
      <c r="K160" s="20" t="s">
        <v>483</v>
      </c>
      <c r="L160" s="16" t="s">
        <v>118</v>
      </c>
      <c r="M160" s="20" t="n">
        <v>3</v>
      </c>
      <c r="N160" s="17" t="s">
        <v>477</v>
      </c>
      <c r="O160" s="19" t="s">
        <v>119</v>
      </c>
      <c r="P160" s="21"/>
    </row>
    <row r="161" customFormat="false" ht="15" hidden="false" customHeight="false" outlineLevel="0" collapsed="false">
      <c r="A161" s="16" t="s">
        <v>112</v>
      </c>
      <c r="B161" s="16" t="s">
        <v>102</v>
      </c>
      <c r="C161" s="17"/>
      <c r="D161" s="18"/>
      <c r="E161" s="19"/>
      <c r="F161" s="16" t="s">
        <v>480</v>
      </c>
      <c r="G161" s="17" t="s">
        <v>481</v>
      </c>
      <c r="H161" s="18"/>
      <c r="I161" s="19" t="s">
        <v>115</v>
      </c>
      <c r="J161" s="17" t="s">
        <v>485</v>
      </c>
      <c r="K161" s="20" t="s">
        <v>483</v>
      </c>
      <c r="L161" s="16" t="s">
        <v>118</v>
      </c>
      <c r="M161" s="20" t="n">
        <v>5</v>
      </c>
      <c r="N161" s="17" t="s">
        <v>477</v>
      </c>
      <c r="O161" s="19" t="s">
        <v>119</v>
      </c>
      <c r="P161" s="21"/>
    </row>
    <row r="162" customFormat="false" ht="15" hidden="false" customHeight="false" outlineLevel="0" collapsed="false">
      <c r="A162" s="16" t="s">
        <v>112</v>
      </c>
      <c r="B162" s="16" t="s">
        <v>102</v>
      </c>
      <c r="C162" s="17"/>
      <c r="D162" s="18"/>
      <c r="E162" s="19"/>
      <c r="F162" s="16" t="s">
        <v>480</v>
      </c>
      <c r="G162" s="17" t="s">
        <v>481</v>
      </c>
      <c r="H162" s="18"/>
      <c r="I162" s="19" t="s">
        <v>115</v>
      </c>
      <c r="J162" s="17" t="s">
        <v>486</v>
      </c>
      <c r="K162" s="20" t="s">
        <v>483</v>
      </c>
      <c r="L162" s="16" t="s">
        <v>118</v>
      </c>
      <c r="M162" s="20" t="n">
        <v>5</v>
      </c>
      <c r="N162" s="17" t="s">
        <v>477</v>
      </c>
      <c r="O162" s="19" t="s">
        <v>119</v>
      </c>
      <c r="P162" s="21"/>
    </row>
  </sheetData>
  <autoFilter ref="A3:P162"/>
  <mergeCells count="1">
    <mergeCell ref="A1:L1"/>
  </mergeCells>
  <dataValidations count="3">
    <dataValidation allowBlank="true" errorStyle="stop" operator="between" showDropDown="false" showErrorMessage="false" showInputMessage="false" sqref="O4:O162" type="list">
      <formula1>"Backlog,To do,In progress,Blocked,Done"</formula1>
      <formula2>0</formula2>
    </dataValidation>
    <dataValidation allowBlank="true" errorStyle="stop" operator="between" showDropDown="false" showErrorMessage="false" showInputMessage="false" sqref="I4:I162" type="list">
      <formula1>"Não iniciado,Em curso,Feito"</formula1>
      <formula2>0</formula2>
    </dataValidation>
    <dataValidation allowBlank="true" errorStyle="stop" operator="between" showDropDown="false" showErrorMessage="false" showInputMessage="false" sqref="E4:E162" type="list">
      <formula1>"Não iniciada,Em curso,Feita"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5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32"/>
  </cols>
  <sheetData>
    <row r="1" customFormat="false" ht="21.75" hidden="false" customHeight="true" outlineLevel="0" collapsed="false">
      <c r="A1" s="1" t="s">
        <v>487</v>
      </c>
      <c r="B1" s="1"/>
      <c r="C1" s="1"/>
      <c r="D1" s="1"/>
      <c r="E1" s="1"/>
      <c r="F1" s="1"/>
      <c r="G1" s="1"/>
      <c r="H1" s="1"/>
      <c r="I1" s="1"/>
    </row>
    <row r="3" customFormat="false" ht="31.5" hidden="false" customHeight="true" outlineLevel="0" collapsed="false">
      <c r="A3" s="6" t="s">
        <v>39</v>
      </c>
      <c r="B3" s="6" t="s">
        <v>488</v>
      </c>
      <c r="C3" s="6" t="s">
        <v>34</v>
      </c>
      <c r="D3" s="6" t="s">
        <v>8</v>
      </c>
      <c r="E3" s="6" t="s">
        <v>109</v>
      </c>
      <c r="F3" s="6" t="s">
        <v>110</v>
      </c>
      <c r="G3" s="6" t="s">
        <v>43</v>
      </c>
      <c r="H3" s="6" t="s">
        <v>489</v>
      </c>
      <c r="I3" s="6" t="s">
        <v>45</v>
      </c>
    </row>
    <row r="4" customFormat="false" ht="22.35" hidden="false" customHeight="false" outlineLevel="0" collapsed="false">
      <c r="A4" s="20" t="s">
        <v>141</v>
      </c>
      <c r="B4" s="16" t="s">
        <v>72</v>
      </c>
      <c r="C4" s="17" t="s">
        <v>137</v>
      </c>
      <c r="D4" s="23" t="s">
        <v>140</v>
      </c>
      <c r="E4" s="16" t="s">
        <v>118</v>
      </c>
      <c r="F4" s="20" t="n">
        <v>2</v>
      </c>
      <c r="G4" s="17"/>
      <c r="H4" s="19" t="s">
        <v>142</v>
      </c>
      <c r="I4" s="21"/>
    </row>
    <row r="5" customFormat="false" ht="22.35" hidden="false" customHeight="false" outlineLevel="0" collapsed="false">
      <c r="A5" s="20" t="s">
        <v>141</v>
      </c>
      <c r="B5" s="16" t="s">
        <v>72</v>
      </c>
      <c r="C5" s="17" t="s">
        <v>137</v>
      </c>
      <c r="D5" s="23" t="s">
        <v>143</v>
      </c>
      <c r="E5" s="16" t="s">
        <v>118</v>
      </c>
      <c r="F5" s="20" t="n">
        <v>2</v>
      </c>
      <c r="G5" s="17"/>
      <c r="H5" s="19" t="s">
        <v>142</v>
      </c>
      <c r="I5" s="21"/>
    </row>
    <row r="6" customFormat="false" ht="15" hidden="false" customHeight="false" outlineLevel="0" collapsed="false">
      <c r="A6" s="20" t="s">
        <v>141</v>
      </c>
      <c r="B6" s="16" t="s">
        <v>81</v>
      </c>
      <c r="C6" s="17" t="s">
        <v>279</v>
      </c>
      <c r="D6" s="23" t="s">
        <v>281</v>
      </c>
      <c r="E6" s="16" t="s">
        <v>118</v>
      </c>
      <c r="F6" s="20" t="n">
        <v>2</v>
      </c>
      <c r="G6" s="17"/>
      <c r="H6" s="19" t="s">
        <v>142</v>
      </c>
      <c r="I6" s="21"/>
    </row>
    <row r="7" customFormat="false" ht="22.35" hidden="false" customHeight="false" outlineLevel="0" collapsed="false">
      <c r="A7" s="20" t="s">
        <v>145</v>
      </c>
      <c r="B7" s="16" t="s">
        <v>72</v>
      </c>
      <c r="C7" s="17" t="s">
        <v>137</v>
      </c>
      <c r="D7" s="23" t="s">
        <v>144</v>
      </c>
      <c r="E7" s="16" t="s">
        <v>118</v>
      </c>
      <c r="F7" s="20" t="n">
        <v>2</v>
      </c>
      <c r="G7" s="17"/>
      <c r="H7" s="19" t="s">
        <v>142</v>
      </c>
      <c r="I7" s="21"/>
    </row>
    <row r="8" customFormat="false" ht="22.35" hidden="false" customHeight="false" outlineLevel="0" collapsed="false">
      <c r="A8" s="20" t="s">
        <v>145</v>
      </c>
      <c r="B8" s="16" t="s">
        <v>72</v>
      </c>
      <c r="C8" s="17" t="s">
        <v>137</v>
      </c>
      <c r="D8" s="23" t="s">
        <v>146</v>
      </c>
      <c r="E8" s="16" t="s">
        <v>118</v>
      </c>
      <c r="F8" s="20" t="n">
        <v>2</v>
      </c>
      <c r="G8" s="17"/>
      <c r="H8" s="19" t="s">
        <v>142</v>
      </c>
      <c r="I8" s="21"/>
    </row>
    <row r="9" customFormat="false" ht="15" hidden="false" customHeight="false" outlineLevel="0" collapsed="false">
      <c r="A9" s="20" t="s">
        <v>145</v>
      </c>
      <c r="B9" s="16" t="s">
        <v>81</v>
      </c>
      <c r="C9" s="17" t="s">
        <v>279</v>
      </c>
      <c r="D9" s="23" t="s">
        <v>282</v>
      </c>
      <c r="E9" s="16" t="s">
        <v>118</v>
      </c>
      <c r="F9" s="20" t="n">
        <v>2</v>
      </c>
      <c r="G9" s="17" t="s">
        <v>283</v>
      </c>
      <c r="H9" s="19" t="s">
        <v>142</v>
      </c>
      <c r="I9" s="21"/>
    </row>
    <row r="10" customFormat="false" ht="15" hidden="false" customHeight="false" outlineLevel="0" collapsed="false">
      <c r="A10" s="20" t="s">
        <v>117</v>
      </c>
      <c r="B10" s="16" t="s">
        <v>72</v>
      </c>
      <c r="C10" s="17" t="s">
        <v>147</v>
      </c>
      <c r="D10" s="17" t="s">
        <v>149</v>
      </c>
      <c r="E10" s="16" t="s">
        <v>118</v>
      </c>
      <c r="F10" s="20" t="n">
        <v>2</v>
      </c>
      <c r="G10" s="17" t="s">
        <v>150</v>
      </c>
      <c r="H10" s="19" t="s">
        <v>119</v>
      </c>
      <c r="I10" s="21"/>
    </row>
    <row r="11" customFormat="false" ht="15" hidden="false" customHeight="false" outlineLevel="0" collapsed="false">
      <c r="A11" s="20" t="s">
        <v>117</v>
      </c>
      <c r="B11" s="16" t="s">
        <v>72</v>
      </c>
      <c r="C11" s="17" t="s">
        <v>147</v>
      </c>
      <c r="D11" s="17" t="s">
        <v>151</v>
      </c>
      <c r="E11" s="16" t="s">
        <v>118</v>
      </c>
      <c r="F11" s="20" t="n">
        <v>3</v>
      </c>
      <c r="G11" s="17" t="s">
        <v>147</v>
      </c>
      <c r="H11" s="19" t="s">
        <v>119</v>
      </c>
      <c r="I11" s="21"/>
    </row>
    <row r="12" customFormat="false" ht="15" hidden="false" customHeight="false" outlineLevel="0" collapsed="false">
      <c r="A12" s="20" t="s">
        <v>117</v>
      </c>
      <c r="B12" s="16" t="s">
        <v>72</v>
      </c>
      <c r="C12" s="17" t="s">
        <v>147</v>
      </c>
      <c r="D12" s="17" t="s">
        <v>152</v>
      </c>
      <c r="E12" s="16" t="s">
        <v>118</v>
      </c>
      <c r="F12" s="20" t="n">
        <v>2</v>
      </c>
      <c r="G12" s="17" t="s">
        <v>147</v>
      </c>
      <c r="H12" s="19" t="s">
        <v>119</v>
      </c>
      <c r="I12" s="21"/>
    </row>
    <row r="13" customFormat="false" ht="22.35" hidden="false" customHeight="false" outlineLevel="0" collapsed="false">
      <c r="A13" s="20" t="s">
        <v>117</v>
      </c>
      <c r="B13" s="16" t="s">
        <v>72</v>
      </c>
      <c r="C13" s="17" t="s">
        <v>147</v>
      </c>
      <c r="D13" s="17" t="s">
        <v>153</v>
      </c>
      <c r="E13" s="16" t="s">
        <v>118</v>
      </c>
      <c r="F13" s="20" t="n">
        <v>1</v>
      </c>
      <c r="G13" s="17"/>
      <c r="H13" s="19" t="s">
        <v>119</v>
      </c>
      <c r="I13" s="21"/>
    </row>
    <row r="14" customFormat="false" ht="15" hidden="false" customHeight="false" outlineLevel="0" collapsed="false">
      <c r="A14" s="20" t="s">
        <v>117</v>
      </c>
      <c r="B14" s="16" t="s">
        <v>72</v>
      </c>
      <c r="C14" s="17" t="s">
        <v>154</v>
      </c>
      <c r="D14" s="17" t="s">
        <v>156</v>
      </c>
      <c r="E14" s="16" t="s">
        <v>118</v>
      </c>
      <c r="F14" s="20" t="n">
        <v>3</v>
      </c>
      <c r="G14" s="17"/>
      <c r="H14" s="19" t="s">
        <v>119</v>
      </c>
      <c r="I14" s="21"/>
    </row>
    <row r="15" customFormat="false" ht="15" hidden="false" customHeight="false" outlineLevel="0" collapsed="false">
      <c r="A15" s="20" t="s">
        <v>117</v>
      </c>
      <c r="B15" s="16" t="s">
        <v>72</v>
      </c>
      <c r="C15" s="17" t="s">
        <v>154</v>
      </c>
      <c r="D15" s="17" t="s">
        <v>157</v>
      </c>
      <c r="E15" s="16" t="s">
        <v>118</v>
      </c>
      <c r="F15" s="20" t="n">
        <v>2</v>
      </c>
      <c r="G15" s="17" t="s">
        <v>158</v>
      </c>
      <c r="H15" s="19" t="s">
        <v>119</v>
      </c>
      <c r="I15" s="21"/>
    </row>
    <row r="16" customFormat="false" ht="15" hidden="false" customHeight="false" outlineLevel="0" collapsed="false">
      <c r="A16" s="20" t="s">
        <v>117</v>
      </c>
      <c r="B16" s="16" t="s">
        <v>72</v>
      </c>
      <c r="C16" s="17" t="s">
        <v>154</v>
      </c>
      <c r="D16" s="17" t="s">
        <v>159</v>
      </c>
      <c r="E16" s="16" t="s">
        <v>118</v>
      </c>
      <c r="F16" s="20" t="n">
        <v>1</v>
      </c>
      <c r="G16" s="17" t="s">
        <v>160</v>
      </c>
      <c r="H16" s="19" t="s">
        <v>119</v>
      </c>
      <c r="I16" s="21"/>
    </row>
    <row r="17" customFormat="false" ht="15" hidden="false" customHeight="false" outlineLevel="0" collapsed="false">
      <c r="A17" s="20" t="s">
        <v>117</v>
      </c>
      <c r="B17" s="16" t="s">
        <v>72</v>
      </c>
      <c r="C17" s="17" t="s">
        <v>161</v>
      </c>
      <c r="D17" s="17" t="s">
        <v>163</v>
      </c>
      <c r="E17" s="16" t="s">
        <v>118</v>
      </c>
      <c r="F17" s="20" t="n">
        <v>2</v>
      </c>
      <c r="G17" s="17"/>
      <c r="H17" s="19" t="s">
        <v>119</v>
      </c>
      <c r="I17" s="21"/>
    </row>
    <row r="18" customFormat="false" ht="15" hidden="false" customHeight="false" outlineLevel="0" collapsed="false">
      <c r="A18" s="20" t="s">
        <v>117</v>
      </c>
      <c r="B18" s="16" t="s">
        <v>72</v>
      </c>
      <c r="C18" s="17" t="s">
        <v>161</v>
      </c>
      <c r="D18" s="17" t="s">
        <v>164</v>
      </c>
      <c r="E18" s="16" t="s">
        <v>118</v>
      </c>
      <c r="F18" s="20" t="n">
        <v>2</v>
      </c>
      <c r="G18" s="17"/>
      <c r="H18" s="19" t="s">
        <v>119</v>
      </c>
      <c r="I18" s="21"/>
    </row>
    <row r="19" customFormat="false" ht="15" hidden="false" customHeight="false" outlineLevel="0" collapsed="false">
      <c r="A19" s="20" t="s">
        <v>117</v>
      </c>
      <c r="B19" s="16" t="s">
        <v>72</v>
      </c>
      <c r="C19" s="17" t="s">
        <v>161</v>
      </c>
      <c r="D19" s="17" t="s">
        <v>165</v>
      </c>
      <c r="E19" s="16" t="s">
        <v>118</v>
      </c>
      <c r="F19" s="20" t="n">
        <v>3</v>
      </c>
      <c r="G19" s="17" t="s">
        <v>166</v>
      </c>
      <c r="H19" s="19" t="s">
        <v>119</v>
      </c>
      <c r="I19" s="21"/>
    </row>
    <row r="20" customFormat="false" ht="15" hidden="false" customHeight="false" outlineLevel="0" collapsed="false">
      <c r="A20" s="20" t="s">
        <v>117</v>
      </c>
      <c r="B20" s="16" t="s">
        <v>72</v>
      </c>
      <c r="C20" s="17" t="s">
        <v>161</v>
      </c>
      <c r="D20" s="17" t="s">
        <v>167</v>
      </c>
      <c r="E20" s="16" t="s">
        <v>118</v>
      </c>
      <c r="F20" s="20" t="n">
        <v>1</v>
      </c>
      <c r="G20" s="17" t="s">
        <v>168</v>
      </c>
      <c r="H20" s="19" t="s">
        <v>119</v>
      </c>
      <c r="I20" s="21"/>
    </row>
    <row r="21" customFormat="false" ht="15" hidden="false" customHeight="false" outlineLevel="0" collapsed="false">
      <c r="A21" s="20" t="s">
        <v>117</v>
      </c>
      <c r="B21" s="16" t="s">
        <v>72</v>
      </c>
      <c r="C21" s="17" t="s">
        <v>161</v>
      </c>
      <c r="D21" s="17" t="s">
        <v>169</v>
      </c>
      <c r="E21" s="16" t="s">
        <v>118</v>
      </c>
      <c r="F21" s="20" t="n">
        <v>2</v>
      </c>
      <c r="G21" s="17" t="s">
        <v>170</v>
      </c>
      <c r="H21" s="19" t="s">
        <v>119</v>
      </c>
      <c r="I21" s="21"/>
    </row>
    <row r="22" customFormat="false" ht="15" hidden="false" customHeight="false" outlineLevel="0" collapsed="false">
      <c r="A22" s="20" t="s">
        <v>117</v>
      </c>
      <c r="B22" s="16" t="s">
        <v>78</v>
      </c>
      <c r="C22" s="17" t="s">
        <v>222</v>
      </c>
      <c r="D22" s="17" t="s">
        <v>225</v>
      </c>
      <c r="E22" s="16" t="s">
        <v>118</v>
      </c>
      <c r="F22" s="20" t="n">
        <v>2</v>
      </c>
      <c r="G22" s="17"/>
      <c r="H22" s="19" t="s">
        <v>226</v>
      </c>
      <c r="I22" s="21"/>
    </row>
    <row r="23" customFormat="false" ht="15" hidden="false" customHeight="false" outlineLevel="0" collapsed="false">
      <c r="A23" s="20" t="s">
        <v>117</v>
      </c>
      <c r="B23" s="16" t="s">
        <v>78</v>
      </c>
      <c r="C23" s="17" t="s">
        <v>231</v>
      </c>
      <c r="D23" s="17" t="s">
        <v>233</v>
      </c>
      <c r="E23" s="16" t="s">
        <v>118</v>
      </c>
      <c r="F23" s="20" t="n">
        <v>1</v>
      </c>
      <c r="G23" s="17"/>
      <c r="H23" s="19" t="s">
        <v>119</v>
      </c>
      <c r="I23" s="21"/>
    </row>
    <row r="24" customFormat="false" ht="15" hidden="false" customHeight="false" outlineLevel="0" collapsed="false">
      <c r="A24" s="20" t="s">
        <v>117</v>
      </c>
      <c r="B24" s="16" t="s">
        <v>78</v>
      </c>
      <c r="C24" s="17" t="s">
        <v>231</v>
      </c>
      <c r="D24" s="17" t="s">
        <v>234</v>
      </c>
      <c r="E24" s="16" t="s">
        <v>118</v>
      </c>
      <c r="F24" s="20" t="n">
        <v>2</v>
      </c>
      <c r="G24" s="17" t="s">
        <v>235</v>
      </c>
      <c r="H24" s="19" t="s">
        <v>119</v>
      </c>
      <c r="I24" s="21"/>
    </row>
    <row r="25" customFormat="false" ht="15" hidden="false" customHeight="false" outlineLevel="0" collapsed="false">
      <c r="A25" s="20" t="s">
        <v>117</v>
      </c>
      <c r="B25" s="16" t="s">
        <v>78</v>
      </c>
      <c r="C25" s="17" t="s">
        <v>231</v>
      </c>
      <c r="D25" s="17" t="s">
        <v>236</v>
      </c>
      <c r="E25" s="16" t="s">
        <v>118</v>
      </c>
      <c r="F25" s="20" t="n">
        <v>1</v>
      </c>
      <c r="G25" s="17" t="s">
        <v>237</v>
      </c>
      <c r="H25" s="19" t="s">
        <v>119</v>
      </c>
      <c r="I25" s="21"/>
    </row>
    <row r="26" customFormat="false" ht="15" hidden="false" customHeight="false" outlineLevel="0" collapsed="false">
      <c r="A26" s="20" t="s">
        <v>117</v>
      </c>
      <c r="B26" s="16" t="s">
        <v>78</v>
      </c>
      <c r="C26" s="17" t="s">
        <v>231</v>
      </c>
      <c r="D26" s="17" t="s">
        <v>238</v>
      </c>
      <c r="E26" s="16" t="s">
        <v>118</v>
      </c>
      <c r="F26" s="20" t="n">
        <v>1</v>
      </c>
      <c r="G26" s="17"/>
      <c r="H26" s="19" t="s">
        <v>119</v>
      </c>
      <c r="I26" s="21"/>
    </row>
    <row r="27" customFormat="false" ht="15" hidden="false" customHeight="false" outlineLevel="0" collapsed="false">
      <c r="A27" s="20" t="s">
        <v>117</v>
      </c>
      <c r="B27" s="16" t="s">
        <v>78</v>
      </c>
      <c r="C27" s="17" t="s">
        <v>231</v>
      </c>
      <c r="D27" s="17" t="s">
        <v>239</v>
      </c>
      <c r="E27" s="16" t="s">
        <v>118</v>
      </c>
      <c r="F27" s="20" t="n">
        <v>1</v>
      </c>
      <c r="G27" s="17" t="s">
        <v>240</v>
      </c>
      <c r="H27" s="19" t="s">
        <v>119</v>
      </c>
      <c r="I27" s="21"/>
    </row>
    <row r="28" customFormat="false" ht="15" hidden="false" customHeight="false" outlineLevel="0" collapsed="false">
      <c r="A28" s="20" t="s">
        <v>117</v>
      </c>
      <c r="B28" s="16" t="s">
        <v>78</v>
      </c>
      <c r="C28" s="17" t="s">
        <v>241</v>
      </c>
      <c r="D28" s="17" t="s">
        <v>243</v>
      </c>
      <c r="E28" s="16" t="s">
        <v>118</v>
      </c>
      <c r="F28" s="20" t="n">
        <v>2</v>
      </c>
      <c r="G28" s="17" t="s">
        <v>244</v>
      </c>
      <c r="H28" s="19" t="s">
        <v>119</v>
      </c>
      <c r="I28" s="21"/>
    </row>
    <row r="29" customFormat="false" ht="15" hidden="false" customHeight="false" outlineLevel="0" collapsed="false">
      <c r="A29" s="20" t="s">
        <v>117</v>
      </c>
      <c r="B29" s="16" t="s">
        <v>81</v>
      </c>
      <c r="C29" s="17" t="s">
        <v>279</v>
      </c>
      <c r="D29" s="17" t="s">
        <v>284</v>
      </c>
      <c r="E29" s="16" t="s">
        <v>118</v>
      </c>
      <c r="F29" s="20" t="n">
        <v>2</v>
      </c>
      <c r="G29" s="17" t="s">
        <v>285</v>
      </c>
      <c r="H29" s="19" t="s">
        <v>226</v>
      </c>
      <c r="I29" s="21"/>
    </row>
    <row r="30" customFormat="false" ht="15" hidden="false" customHeight="false" outlineLevel="0" collapsed="false">
      <c r="A30" s="20" t="s">
        <v>117</v>
      </c>
      <c r="B30" s="16" t="s">
        <v>81</v>
      </c>
      <c r="C30" s="17" t="s">
        <v>279</v>
      </c>
      <c r="D30" s="17" t="s">
        <v>286</v>
      </c>
      <c r="E30" s="16" t="s">
        <v>118</v>
      </c>
      <c r="F30" s="20" t="n">
        <v>4</v>
      </c>
      <c r="G30" s="17" t="s">
        <v>287</v>
      </c>
      <c r="H30" s="19" t="s">
        <v>119</v>
      </c>
      <c r="I30" s="21"/>
    </row>
    <row r="31" customFormat="false" ht="22.35" hidden="false" customHeight="false" outlineLevel="0" collapsed="false">
      <c r="A31" s="20" t="s">
        <v>117</v>
      </c>
      <c r="B31" s="16" t="s">
        <v>81</v>
      </c>
      <c r="C31" s="17" t="s">
        <v>294</v>
      </c>
      <c r="D31" s="17" t="s">
        <v>296</v>
      </c>
      <c r="E31" s="16" t="s">
        <v>118</v>
      </c>
      <c r="F31" s="20" t="n">
        <v>1</v>
      </c>
      <c r="G31" s="17"/>
      <c r="H31" s="19" t="s">
        <v>119</v>
      </c>
      <c r="I31" s="21"/>
    </row>
    <row r="32" customFormat="false" ht="15" hidden="false" customHeight="false" outlineLevel="0" collapsed="false">
      <c r="A32" s="20" t="s">
        <v>117</v>
      </c>
      <c r="B32" s="16" t="s">
        <v>102</v>
      </c>
      <c r="C32" s="17" t="s">
        <v>477</v>
      </c>
      <c r="D32" s="17" t="s">
        <v>479</v>
      </c>
      <c r="E32" s="16" t="s">
        <v>118</v>
      </c>
      <c r="F32" s="20" t="n">
        <v>1</v>
      </c>
      <c r="G32" s="17"/>
      <c r="H32" s="19" t="s">
        <v>119</v>
      </c>
      <c r="I32" s="21"/>
    </row>
    <row r="33" customFormat="false" ht="22.35" hidden="false" customHeight="false" outlineLevel="0" collapsed="false">
      <c r="A33" s="20" t="s">
        <v>117</v>
      </c>
      <c r="B33" s="16" t="s">
        <v>68</v>
      </c>
      <c r="C33" s="17" t="s">
        <v>113</v>
      </c>
      <c r="D33" s="17" t="s">
        <v>116</v>
      </c>
      <c r="E33" s="16" t="s">
        <v>118</v>
      </c>
      <c r="F33" s="20" t="n">
        <v>2</v>
      </c>
      <c r="G33" s="17"/>
      <c r="H33" s="19" t="s">
        <v>119</v>
      </c>
      <c r="I33" s="21"/>
    </row>
    <row r="34" customFormat="false" ht="22.35" hidden="false" customHeight="false" outlineLevel="0" collapsed="false">
      <c r="A34" s="20" t="s">
        <v>117</v>
      </c>
      <c r="B34" s="16" t="s">
        <v>68</v>
      </c>
      <c r="C34" s="17" t="s">
        <v>113</v>
      </c>
      <c r="D34" s="17" t="s">
        <v>120</v>
      </c>
      <c r="E34" s="16" t="s">
        <v>118</v>
      </c>
      <c r="F34" s="20" t="n">
        <v>1</v>
      </c>
      <c r="G34" s="17" t="s">
        <v>121</v>
      </c>
      <c r="H34" s="19" t="s">
        <v>119</v>
      </c>
      <c r="I34" s="21"/>
    </row>
    <row r="35" customFormat="false" ht="15" hidden="false" customHeight="false" outlineLevel="0" collapsed="false">
      <c r="A35" s="20" t="s">
        <v>123</v>
      </c>
      <c r="B35" s="16" t="s">
        <v>72</v>
      </c>
      <c r="C35" s="17" t="s">
        <v>171</v>
      </c>
      <c r="D35" s="17" t="s">
        <v>173</v>
      </c>
      <c r="E35" s="16" t="s">
        <v>118</v>
      </c>
      <c r="F35" s="20" t="n">
        <v>6</v>
      </c>
      <c r="G35" s="17" t="s">
        <v>161</v>
      </c>
      <c r="H35" s="19" t="s">
        <v>119</v>
      </c>
      <c r="I35" s="21"/>
    </row>
    <row r="36" customFormat="false" ht="22.35" hidden="false" customHeight="false" outlineLevel="0" collapsed="false">
      <c r="A36" s="20" t="s">
        <v>123</v>
      </c>
      <c r="B36" s="16" t="s">
        <v>72</v>
      </c>
      <c r="C36" s="17" t="s">
        <v>171</v>
      </c>
      <c r="D36" s="17" t="s">
        <v>174</v>
      </c>
      <c r="E36" s="16" t="s">
        <v>118</v>
      </c>
      <c r="F36" s="20" t="n">
        <v>4</v>
      </c>
      <c r="G36" s="17" t="s">
        <v>161</v>
      </c>
      <c r="H36" s="19" t="s">
        <v>119</v>
      </c>
      <c r="I36" s="21"/>
    </row>
    <row r="37" customFormat="false" ht="15" hidden="false" customHeight="false" outlineLevel="0" collapsed="false">
      <c r="A37" s="20" t="s">
        <v>123</v>
      </c>
      <c r="B37" s="16" t="s">
        <v>72</v>
      </c>
      <c r="C37" s="17" t="s">
        <v>171</v>
      </c>
      <c r="D37" s="17" t="s">
        <v>175</v>
      </c>
      <c r="E37" s="16" t="s">
        <v>118</v>
      </c>
      <c r="F37" s="20" t="n">
        <v>2</v>
      </c>
      <c r="G37" s="17" t="s">
        <v>176</v>
      </c>
      <c r="H37" s="19" t="s">
        <v>119</v>
      </c>
      <c r="I37" s="21"/>
    </row>
    <row r="38" customFormat="false" ht="15" hidden="false" customHeight="false" outlineLevel="0" collapsed="false">
      <c r="A38" s="20" t="s">
        <v>123</v>
      </c>
      <c r="B38" s="16" t="s">
        <v>72</v>
      </c>
      <c r="C38" s="17" t="s">
        <v>171</v>
      </c>
      <c r="D38" s="17" t="s">
        <v>177</v>
      </c>
      <c r="E38" s="16" t="s">
        <v>118</v>
      </c>
      <c r="F38" s="20" t="n">
        <v>1</v>
      </c>
      <c r="G38" s="17" t="s">
        <v>176</v>
      </c>
      <c r="H38" s="19" t="s">
        <v>119</v>
      </c>
      <c r="I38" s="21"/>
    </row>
    <row r="39" customFormat="false" ht="15" hidden="false" customHeight="false" outlineLevel="0" collapsed="false">
      <c r="A39" s="20" t="s">
        <v>123</v>
      </c>
      <c r="B39" s="16" t="s">
        <v>78</v>
      </c>
      <c r="C39" s="17" t="s">
        <v>222</v>
      </c>
      <c r="D39" s="17" t="s">
        <v>227</v>
      </c>
      <c r="E39" s="16" t="s">
        <v>118</v>
      </c>
      <c r="F39" s="20" t="n">
        <v>2</v>
      </c>
      <c r="G39" s="17" t="s">
        <v>228</v>
      </c>
      <c r="H39" s="19" t="s">
        <v>119</v>
      </c>
      <c r="I39" s="21"/>
    </row>
    <row r="40" customFormat="false" ht="15" hidden="false" customHeight="false" outlineLevel="0" collapsed="false">
      <c r="A40" s="20" t="s">
        <v>123</v>
      </c>
      <c r="B40" s="16" t="s">
        <v>81</v>
      </c>
      <c r="C40" s="17" t="s">
        <v>279</v>
      </c>
      <c r="D40" s="17" t="s">
        <v>288</v>
      </c>
      <c r="E40" s="16" t="s">
        <v>118</v>
      </c>
      <c r="F40" s="20" t="n">
        <v>3</v>
      </c>
      <c r="G40" s="17" t="s">
        <v>289</v>
      </c>
      <c r="H40" s="19" t="s">
        <v>119</v>
      </c>
      <c r="I40" s="21"/>
    </row>
    <row r="41" customFormat="false" ht="15" hidden="false" customHeight="false" outlineLevel="0" collapsed="false">
      <c r="A41" s="20" t="s">
        <v>123</v>
      </c>
      <c r="B41" s="16" t="s">
        <v>81</v>
      </c>
      <c r="C41" s="17" t="s">
        <v>279</v>
      </c>
      <c r="D41" s="17" t="s">
        <v>290</v>
      </c>
      <c r="E41" s="16" t="s">
        <v>118</v>
      </c>
      <c r="F41" s="20" t="n">
        <v>1</v>
      </c>
      <c r="G41" s="17" t="s">
        <v>291</v>
      </c>
      <c r="H41" s="19" t="s">
        <v>119</v>
      </c>
      <c r="I41" s="21"/>
    </row>
    <row r="42" customFormat="false" ht="15" hidden="false" customHeight="false" outlineLevel="0" collapsed="false">
      <c r="A42" s="20" t="s">
        <v>123</v>
      </c>
      <c r="B42" s="16" t="s">
        <v>81</v>
      </c>
      <c r="C42" s="17" t="s">
        <v>279</v>
      </c>
      <c r="D42" s="17" t="s">
        <v>292</v>
      </c>
      <c r="E42" s="16" t="s">
        <v>118</v>
      </c>
      <c r="F42" s="20" t="n">
        <v>1</v>
      </c>
      <c r="G42" s="17" t="s">
        <v>293</v>
      </c>
      <c r="H42" s="19" t="s">
        <v>119</v>
      </c>
      <c r="I42" s="21"/>
    </row>
    <row r="43" customFormat="false" ht="15" hidden="false" customHeight="false" outlineLevel="0" collapsed="false">
      <c r="A43" s="20" t="s">
        <v>123</v>
      </c>
      <c r="B43" s="16" t="s">
        <v>81</v>
      </c>
      <c r="C43" s="17" t="s">
        <v>294</v>
      </c>
      <c r="D43" s="17" t="s">
        <v>297</v>
      </c>
      <c r="E43" s="16" t="s">
        <v>118</v>
      </c>
      <c r="F43" s="20" t="n">
        <v>3</v>
      </c>
      <c r="G43" s="17" t="s">
        <v>291</v>
      </c>
      <c r="H43" s="19" t="s">
        <v>119</v>
      </c>
      <c r="I43" s="21"/>
    </row>
    <row r="44" customFormat="false" ht="22.35" hidden="false" customHeight="false" outlineLevel="0" collapsed="false">
      <c r="A44" s="20" t="s">
        <v>123</v>
      </c>
      <c r="B44" s="16" t="s">
        <v>81</v>
      </c>
      <c r="C44" s="17" t="s">
        <v>315</v>
      </c>
      <c r="D44" s="17" t="s">
        <v>317</v>
      </c>
      <c r="E44" s="16" t="s">
        <v>118</v>
      </c>
      <c r="F44" s="20" t="n">
        <v>2</v>
      </c>
      <c r="G44" s="17"/>
      <c r="H44" s="19" t="s">
        <v>119</v>
      </c>
      <c r="I44" s="21"/>
    </row>
    <row r="45" customFormat="false" ht="22.35" hidden="false" customHeight="false" outlineLevel="0" collapsed="false">
      <c r="A45" s="20" t="s">
        <v>123</v>
      </c>
      <c r="B45" s="16" t="s">
        <v>68</v>
      </c>
      <c r="C45" s="17" t="s">
        <v>113</v>
      </c>
      <c r="D45" s="17" t="s">
        <v>122</v>
      </c>
      <c r="E45" s="16" t="s">
        <v>118</v>
      </c>
      <c r="F45" s="20" t="n">
        <v>3</v>
      </c>
      <c r="G45" s="17" t="s">
        <v>124</v>
      </c>
      <c r="H45" s="19" t="s">
        <v>119</v>
      </c>
      <c r="I45" s="21"/>
    </row>
    <row r="46" customFormat="false" ht="15" hidden="false" customHeight="false" outlineLevel="0" collapsed="false">
      <c r="A46" s="20" t="s">
        <v>126</v>
      </c>
      <c r="B46" s="16" t="s">
        <v>72</v>
      </c>
      <c r="C46" s="17" t="s">
        <v>178</v>
      </c>
      <c r="D46" s="17" t="s">
        <v>180</v>
      </c>
      <c r="E46" s="16" t="s">
        <v>118</v>
      </c>
      <c r="F46" s="20" t="n">
        <v>4</v>
      </c>
      <c r="G46" s="17" t="s">
        <v>171</v>
      </c>
      <c r="H46" s="19" t="s">
        <v>119</v>
      </c>
      <c r="I46" s="21"/>
    </row>
    <row r="47" customFormat="false" ht="22.35" hidden="false" customHeight="false" outlineLevel="0" collapsed="false">
      <c r="A47" s="20" t="s">
        <v>126</v>
      </c>
      <c r="B47" s="16" t="s">
        <v>72</v>
      </c>
      <c r="C47" s="17" t="s">
        <v>178</v>
      </c>
      <c r="D47" s="17" t="s">
        <v>181</v>
      </c>
      <c r="E47" s="16" t="s">
        <v>118</v>
      </c>
      <c r="F47" s="20" t="n">
        <v>3</v>
      </c>
      <c r="G47" s="17" t="s">
        <v>182</v>
      </c>
      <c r="H47" s="19" t="s">
        <v>119</v>
      </c>
      <c r="I47" s="21"/>
    </row>
    <row r="48" customFormat="false" ht="15" hidden="false" customHeight="false" outlineLevel="0" collapsed="false">
      <c r="A48" s="20" t="s">
        <v>126</v>
      </c>
      <c r="B48" s="16" t="s">
        <v>72</v>
      </c>
      <c r="C48" s="17" t="s">
        <v>178</v>
      </c>
      <c r="D48" s="17" t="s">
        <v>183</v>
      </c>
      <c r="E48" s="16" t="s">
        <v>118</v>
      </c>
      <c r="F48" s="20" t="n">
        <v>3</v>
      </c>
      <c r="G48" s="17" t="s">
        <v>182</v>
      </c>
      <c r="H48" s="19" t="s">
        <v>119</v>
      </c>
      <c r="I48" s="21"/>
    </row>
    <row r="49" customFormat="false" ht="15" hidden="false" customHeight="false" outlineLevel="0" collapsed="false">
      <c r="A49" s="20" t="s">
        <v>126</v>
      </c>
      <c r="B49" s="16" t="s">
        <v>72</v>
      </c>
      <c r="C49" s="17" t="s">
        <v>178</v>
      </c>
      <c r="D49" s="17" t="s">
        <v>184</v>
      </c>
      <c r="E49" s="16" t="s">
        <v>118</v>
      </c>
      <c r="F49" s="20" t="n">
        <v>3</v>
      </c>
      <c r="G49" s="17" t="s">
        <v>185</v>
      </c>
      <c r="H49" s="19" t="s">
        <v>119</v>
      </c>
      <c r="I49" s="21"/>
    </row>
    <row r="50" customFormat="false" ht="22.35" hidden="false" customHeight="false" outlineLevel="0" collapsed="false">
      <c r="A50" s="20" t="s">
        <v>126</v>
      </c>
      <c r="B50" s="16" t="s">
        <v>72</v>
      </c>
      <c r="C50" s="17" t="s">
        <v>186</v>
      </c>
      <c r="D50" s="17" t="s">
        <v>188</v>
      </c>
      <c r="E50" s="16" t="s">
        <v>118</v>
      </c>
      <c r="F50" s="20" t="n">
        <v>2</v>
      </c>
      <c r="G50" s="17" t="s">
        <v>178</v>
      </c>
      <c r="H50" s="19" t="s">
        <v>119</v>
      </c>
      <c r="I50" s="21"/>
    </row>
    <row r="51" customFormat="false" ht="15" hidden="false" customHeight="false" outlineLevel="0" collapsed="false">
      <c r="A51" s="20" t="s">
        <v>126</v>
      </c>
      <c r="B51" s="16" t="s">
        <v>72</v>
      </c>
      <c r="C51" s="17" t="s">
        <v>186</v>
      </c>
      <c r="D51" s="17" t="s">
        <v>189</v>
      </c>
      <c r="E51" s="16" t="s">
        <v>118</v>
      </c>
      <c r="F51" s="20" t="n">
        <v>5</v>
      </c>
      <c r="G51" s="17" t="s">
        <v>178</v>
      </c>
      <c r="H51" s="19" t="s">
        <v>119</v>
      </c>
      <c r="I51" s="21"/>
    </row>
    <row r="52" customFormat="false" ht="15" hidden="false" customHeight="false" outlineLevel="0" collapsed="false">
      <c r="A52" s="20" t="s">
        <v>126</v>
      </c>
      <c r="B52" s="16" t="s">
        <v>78</v>
      </c>
      <c r="C52" s="17" t="s">
        <v>222</v>
      </c>
      <c r="D52" s="17" t="s">
        <v>229</v>
      </c>
      <c r="E52" s="16" t="s">
        <v>118</v>
      </c>
      <c r="F52" s="20" t="n">
        <v>2</v>
      </c>
      <c r="G52" s="17" t="s">
        <v>230</v>
      </c>
      <c r="H52" s="19" t="s">
        <v>119</v>
      </c>
      <c r="I52" s="21"/>
    </row>
    <row r="53" customFormat="false" ht="15" hidden="false" customHeight="false" outlineLevel="0" collapsed="false">
      <c r="A53" s="20" t="s">
        <v>126</v>
      </c>
      <c r="B53" s="16" t="s">
        <v>78</v>
      </c>
      <c r="C53" s="17" t="s">
        <v>241</v>
      </c>
      <c r="D53" s="17" t="s">
        <v>245</v>
      </c>
      <c r="E53" s="16" t="s">
        <v>118</v>
      </c>
      <c r="F53" s="20" t="n">
        <v>3</v>
      </c>
      <c r="G53" s="17" t="s">
        <v>171</v>
      </c>
      <c r="H53" s="19" t="s">
        <v>119</v>
      </c>
      <c r="I53" s="21"/>
    </row>
    <row r="54" customFormat="false" ht="22.35" hidden="false" customHeight="false" outlineLevel="0" collapsed="false">
      <c r="A54" s="20" t="s">
        <v>126</v>
      </c>
      <c r="B54" s="16" t="s">
        <v>84</v>
      </c>
      <c r="C54" s="17" t="s">
        <v>322</v>
      </c>
      <c r="D54" s="17" t="s">
        <v>324</v>
      </c>
      <c r="E54" s="16" t="s">
        <v>118</v>
      </c>
      <c r="F54" s="20" t="n">
        <v>2</v>
      </c>
      <c r="G54" s="17"/>
      <c r="H54" s="19" t="s">
        <v>119</v>
      </c>
      <c r="I54" s="21"/>
    </row>
    <row r="55" customFormat="false" ht="22.35" hidden="false" customHeight="false" outlineLevel="0" collapsed="false">
      <c r="A55" s="20" t="s">
        <v>126</v>
      </c>
      <c r="B55" s="16" t="s">
        <v>84</v>
      </c>
      <c r="C55" s="17" t="s">
        <v>322</v>
      </c>
      <c r="D55" s="17" t="s">
        <v>325</v>
      </c>
      <c r="E55" s="16" t="s">
        <v>118</v>
      </c>
      <c r="F55" s="20" t="n">
        <v>2</v>
      </c>
      <c r="G55" s="17"/>
      <c r="H55" s="19" t="s">
        <v>119</v>
      </c>
      <c r="I55" s="21"/>
    </row>
    <row r="56" customFormat="false" ht="22.35" hidden="false" customHeight="false" outlineLevel="0" collapsed="false">
      <c r="A56" s="20" t="s">
        <v>126</v>
      </c>
      <c r="B56" s="16" t="s">
        <v>84</v>
      </c>
      <c r="C56" s="17" t="s">
        <v>322</v>
      </c>
      <c r="D56" s="17" t="s">
        <v>326</v>
      </c>
      <c r="E56" s="16" t="s">
        <v>118</v>
      </c>
      <c r="F56" s="20" t="n">
        <v>2</v>
      </c>
      <c r="G56" s="17" t="s">
        <v>327</v>
      </c>
      <c r="H56" s="19" t="s">
        <v>119</v>
      </c>
      <c r="I56" s="21"/>
    </row>
    <row r="57" customFormat="false" ht="15" hidden="false" customHeight="false" outlineLevel="0" collapsed="false">
      <c r="A57" s="20" t="s">
        <v>126</v>
      </c>
      <c r="B57" s="16" t="s">
        <v>81</v>
      </c>
      <c r="C57" s="17" t="s">
        <v>294</v>
      </c>
      <c r="D57" s="17" t="s">
        <v>298</v>
      </c>
      <c r="E57" s="16" t="s">
        <v>118</v>
      </c>
      <c r="F57" s="20" t="n">
        <v>5</v>
      </c>
      <c r="G57" s="17" t="s">
        <v>299</v>
      </c>
      <c r="H57" s="19" t="s">
        <v>119</v>
      </c>
      <c r="I57" s="21"/>
    </row>
    <row r="58" customFormat="false" ht="22.35" hidden="false" customHeight="false" outlineLevel="0" collapsed="false">
      <c r="A58" s="20" t="s">
        <v>126</v>
      </c>
      <c r="B58" s="16" t="s">
        <v>75</v>
      </c>
      <c r="C58" s="17" t="s">
        <v>198</v>
      </c>
      <c r="D58" s="17" t="s">
        <v>181</v>
      </c>
      <c r="E58" s="16" t="s">
        <v>118</v>
      </c>
      <c r="F58" s="20" t="n">
        <v>4</v>
      </c>
      <c r="G58" s="17" t="s">
        <v>200</v>
      </c>
      <c r="H58" s="19" t="s">
        <v>119</v>
      </c>
      <c r="I58" s="21"/>
    </row>
    <row r="59" customFormat="false" ht="22.35" hidden="false" customHeight="false" outlineLevel="0" collapsed="false">
      <c r="A59" s="20" t="s">
        <v>126</v>
      </c>
      <c r="B59" s="16" t="s">
        <v>75</v>
      </c>
      <c r="C59" s="17" t="s">
        <v>198</v>
      </c>
      <c r="D59" s="17" t="s">
        <v>201</v>
      </c>
      <c r="E59" s="16" t="s">
        <v>118</v>
      </c>
      <c r="F59" s="20" t="n">
        <v>5</v>
      </c>
      <c r="G59" s="17" t="s">
        <v>202</v>
      </c>
      <c r="H59" s="19" t="s">
        <v>119</v>
      </c>
      <c r="I59" s="21"/>
    </row>
    <row r="60" customFormat="false" ht="15" hidden="false" customHeight="false" outlineLevel="0" collapsed="false">
      <c r="A60" s="20" t="s">
        <v>126</v>
      </c>
      <c r="B60" s="16" t="s">
        <v>75</v>
      </c>
      <c r="C60" s="17" t="s">
        <v>203</v>
      </c>
      <c r="D60" s="17" t="s">
        <v>205</v>
      </c>
      <c r="E60" s="16" t="s">
        <v>118</v>
      </c>
      <c r="F60" s="20" t="n">
        <v>3</v>
      </c>
      <c r="G60" s="17" t="s">
        <v>206</v>
      </c>
      <c r="H60" s="19" t="s">
        <v>119</v>
      </c>
      <c r="I60" s="21"/>
    </row>
    <row r="61" customFormat="false" ht="15" hidden="false" customHeight="false" outlineLevel="0" collapsed="false">
      <c r="A61" s="20" t="s">
        <v>126</v>
      </c>
      <c r="B61" s="16" t="s">
        <v>75</v>
      </c>
      <c r="C61" s="17" t="s">
        <v>203</v>
      </c>
      <c r="D61" s="17" t="s">
        <v>207</v>
      </c>
      <c r="E61" s="16" t="s">
        <v>118</v>
      </c>
      <c r="F61" s="20" t="n">
        <v>3</v>
      </c>
      <c r="G61" s="17" t="s">
        <v>208</v>
      </c>
      <c r="H61" s="19" t="s">
        <v>119</v>
      </c>
      <c r="I61" s="21"/>
    </row>
    <row r="62" customFormat="false" ht="15" hidden="false" customHeight="false" outlineLevel="0" collapsed="false">
      <c r="A62" s="20" t="s">
        <v>126</v>
      </c>
      <c r="B62" s="16" t="s">
        <v>75</v>
      </c>
      <c r="C62" s="17" t="s">
        <v>203</v>
      </c>
      <c r="D62" s="17" t="s">
        <v>209</v>
      </c>
      <c r="E62" s="16" t="s">
        <v>118</v>
      </c>
      <c r="F62" s="20" t="n">
        <v>3</v>
      </c>
      <c r="G62" s="17" t="s">
        <v>210</v>
      </c>
      <c r="H62" s="19" t="s">
        <v>119</v>
      </c>
      <c r="I62" s="21"/>
    </row>
    <row r="63" customFormat="false" ht="15" hidden="false" customHeight="false" outlineLevel="0" collapsed="false">
      <c r="A63" s="20" t="s">
        <v>126</v>
      </c>
      <c r="B63" s="16" t="s">
        <v>75</v>
      </c>
      <c r="C63" s="17" t="s">
        <v>211</v>
      </c>
      <c r="D63" s="17" t="s">
        <v>213</v>
      </c>
      <c r="E63" s="16" t="s">
        <v>118</v>
      </c>
      <c r="F63" s="20" t="n">
        <v>5</v>
      </c>
      <c r="G63" s="17" t="s">
        <v>214</v>
      </c>
      <c r="H63" s="19" t="s">
        <v>119</v>
      </c>
      <c r="I63" s="21"/>
    </row>
    <row r="64" customFormat="false" ht="22.35" hidden="false" customHeight="false" outlineLevel="0" collapsed="false">
      <c r="A64" s="20" t="s">
        <v>126</v>
      </c>
      <c r="B64" s="16" t="s">
        <v>68</v>
      </c>
      <c r="C64" s="17" t="s">
        <v>113</v>
      </c>
      <c r="D64" s="17" t="s">
        <v>125</v>
      </c>
      <c r="E64" s="16" t="s">
        <v>118</v>
      </c>
      <c r="F64" s="20" t="n">
        <v>1</v>
      </c>
      <c r="G64" s="17" t="s">
        <v>127</v>
      </c>
      <c r="H64" s="19" t="s">
        <v>119</v>
      </c>
      <c r="I64" s="21"/>
    </row>
    <row r="65" customFormat="false" ht="22.35" hidden="false" customHeight="false" outlineLevel="0" collapsed="false">
      <c r="A65" s="20" t="s">
        <v>126</v>
      </c>
      <c r="B65" s="16" t="s">
        <v>68</v>
      </c>
      <c r="C65" s="17"/>
      <c r="D65" s="17" t="s">
        <v>128</v>
      </c>
      <c r="E65" s="16" t="s">
        <v>118</v>
      </c>
      <c r="F65" s="20" t="n">
        <v>2</v>
      </c>
      <c r="G65" s="17" t="s">
        <v>129</v>
      </c>
      <c r="H65" s="19" t="s">
        <v>119</v>
      </c>
      <c r="I65" s="21"/>
    </row>
    <row r="66" customFormat="false" ht="15" hidden="false" customHeight="false" outlineLevel="0" collapsed="false">
      <c r="A66" s="20" t="s">
        <v>131</v>
      </c>
      <c r="B66" s="16" t="s">
        <v>72</v>
      </c>
      <c r="C66" s="17" t="s">
        <v>186</v>
      </c>
      <c r="D66" s="17" t="s">
        <v>190</v>
      </c>
      <c r="E66" s="16" t="s">
        <v>118</v>
      </c>
      <c r="F66" s="20" t="n">
        <v>2</v>
      </c>
      <c r="G66" s="17" t="s">
        <v>186</v>
      </c>
      <c r="H66" s="19" t="s">
        <v>119</v>
      </c>
      <c r="I66" s="21"/>
    </row>
    <row r="67" customFormat="false" ht="15" hidden="false" customHeight="false" outlineLevel="0" collapsed="false">
      <c r="A67" s="20" t="s">
        <v>131</v>
      </c>
      <c r="B67" s="16" t="s">
        <v>72</v>
      </c>
      <c r="C67" s="17" t="s">
        <v>186</v>
      </c>
      <c r="D67" s="17" t="s">
        <v>191</v>
      </c>
      <c r="E67" s="16" t="s">
        <v>118</v>
      </c>
      <c r="F67" s="20" t="n">
        <v>2</v>
      </c>
      <c r="G67" s="17" t="s">
        <v>186</v>
      </c>
      <c r="H67" s="19" t="s">
        <v>119</v>
      </c>
      <c r="I67" s="21"/>
    </row>
    <row r="68" customFormat="false" ht="15" hidden="false" customHeight="false" outlineLevel="0" collapsed="false">
      <c r="A68" s="20" t="s">
        <v>131</v>
      </c>
      <c r="B68" s="16" t="s">
        <v>72</v>
      </c>
      <c r="C68" s="17" t="s">
        <v>186</v>
      </c>
      <c r="D68" s="17" t="s">
        <v>192</v>
      </c>
      <c r="E68" s="16" t="s">
        <v>118</v>
      </c>
      <c r="F68" s="20" t="n">
        <v>2</v>
      </c>
      <c r="G68" s="17" t="s">
        <v>186</v>
      </c>
      <c r="H68" s="19" t="s">
        <v>119</v>
      </c>
      <c r="I68" s="21"/>
    </row>
    <row r="69" customFormat="false" ht="22.35" hidden="false" customHeight="false" outlineLevel="0" collapsed="false">
      <c r="A69" s="20" t="s">
        <v>131</v>
      </c>
      <c r="B69" s="16" t="s">
        <v>72</v>
      </c>
      <c r="C69" s="17"/>
      <c r="D69" s="17" t="s">
        <v>193</v>
      </c>
      <c r="E69" s="16" t="s">
        <v>118</v>
      </c>
      <c r="F69" s="20" t="n">
        <v>1</v>
      </c>
      <c r="G69" s="17" t="s">
        <v>194</v>
      </c>
      <c r="H69" s="19" t="s">
        <v>119</v>
      </c>
      <c r="I69" s="21"/>
    </row>
    <row r="70" customFormat="false" ht="15" hidden="false" customHeight="false" outlineLevel="0" collapsed="false">
      <c r="A70" s="20" t="s">
        <v>131</v>
      </c>
      <c r="B70" s="16" t="s">
        <v>78</v>
      </c>
      <c r="C70" s="17" t="s">
        <v>246</v>
      </c>
      <c r="D70" s="17" t="s">
        <v>248</v>
      </c>
      <c r="E70" s="16" t="s">
        <v>118</v>
      </c>
      <c r="F70" s="20" t="n">
        <v>4</v>
      </c>
      <c r="G70" s="17" t="s">
        <v>249</v>
      </c>
      <c r="H70" s="19" t="s">
        <v>119</v>
      </c>
      <c r="I70" s="21"/>
    </row>
    <row r="71" customFormat="false" ht="15" hidden="false" customHeight="false" outlineLevel="0" collapsed="false">
      <c r="A71" s="20" t="s">
        <v>131</v>
      </c>
      <c r="B71" s="16" t="s">
        <v>78</v>
      </c>
      <c r="C71" s="17" t="s">
        <v>246</v>
      </c>
      <c r="D71" s="17" t="s">
        <v>250</v>
      </c>
      <c r="E71" s="16" t="s">
        <v>118</v>
      </c>
      <c r="F71" s="20" t="n">
        <v>2</v>
      </c>
      <c r="G71" s="17" t="s">
        <v>251</v>
      </c>
      <c r="H71" s="19" t="s">
        <v>119</v>
      </c>
      <c r="I71" s="21"/>
    </row>
    <row r="72" customFormat="false" ht="15" hidden="false" customHeight="false" outlineLevel="0" collapsed="false">
      <c r="A72" s="20" t="s">
        <v>131</v>
      </c>
      <c r="B72" s="16" t="s">
        <v>78</v>
      </c>
      <c r="C72" s="17" t="s">
        <v>246</v>
      </c>
      <c r="D72" s="17" t="s">
        <v>252</v>
      </c>
      <c r="E72" s="16" t="s">
        <v>118</v>
      </c>
      <c r="F72" s="20" t="n">
        <v>1</v>
      </c>
      <c r="G72" s="17" t="s">
        <v>253</v>
      </c>
      <c r="H72" s="19" t="s">
        <v>119</v>
      </c>
      <c r="I72" s="21"/>
    </row>
    <row r="73" customFormat="false" ht="15" hidden="false" customHeight="false" outlineLevel="0" collapsed="false">
      <c r="A73" s="20" t="s">
        <v>131</v>
      </c>
      <c r="B73" s="16" t="s">
        <v>78</v>
      </c>
      <c r="C73" s="17" t="s">
        <v>246</v>
      </c>
      <c r="D73" s="17" t="s">
        <v>254</v>
      </c>
      <c r="E73" s="16" t="s">
        <v>118</v>
      </c>
      <c r="F73" s="20" t="n">
        <v>2</v>
      </c>
      <c r="G73" s="17"/>
      <c r="H73" s="19" t="s">
        <v>119</v>
      </c>
      <c r="I73" s="21"/>
    </row>
    <row r="74" customFormat="false" ht="15" hidden="false" customHeight="false" outlineLevel="0" collapsed="false">
      <c r="A74" s="20" t="s">
        <v>131</v>
      </c>
      <c r="B74" s="16" t="s">
        <v>84</v>
      </c>
      <c r="C74" s="17" t="s">
        <v>328</v>
      </c>
      <c r="D74" s="17" t="s">
        <v>330</v>
      </c>
      <c r="E74" s="16" t="s">
        <v>118</v>
      </c>
      <c r="F74" s="20" t="n">
        <v>3</v>
      </c>
      <c r="G74" s="17"/>
      <c r="H74" s="19" t="s">
        <v>119</v>
      </c>
      <c r="I74" s="21"/>
    </row>
    <row r="75" customFormat="false" ht="15" hidden="false" customHeight="false" outlineLevel="0" collapsed="false">
      <c r="A75" s="20" t="s">
        <v>131</v>
      </c>
      <c r="B75" s="16" t="s">
        <v>84</v>
      </c>
      <c r="C75" s="17" t="s">
        <v>328</v>
      </c>
      <c r="D75" s="17" t="s">
        <v>331</v>
      </c>
      <c r="E75" s="16" t="s">
        <v>118</v>
      </c>
      <c r="F75" s="20" t="n">
        <v>1</v>
      </c>
      <c r="G75" s="17" t="s">
        <v>332</v>
      </c>
      <c r="H75" s="19" t="s">
        <v>119</v>
      </c>
      <c r="I75" s="21"/>
    </row>
    <row r="76" customFormat="false" ht="15" hidden="false" customHeight="false" outlineLevel="0" collapsed="false">
      <c r="A76" s="20" t="s">
        <v>131</v>
      </c>
      <c r="B76" s="16" t="s">
        <v>84</v>
      </c>
      <c r="C76" s="17" t="s">
        <v>328</v>
      </c>
      <c r="D76" s="17" t="s">
        <v>333</v>
      </c>
      <c r="E76" s="16" t="s">
        <v>118</v>
      </c>
      <c r="F76" s="20" t="n">
        <v>3</v>
      </c>
      <c r="G76" s="17" t="s">
        <v>334</v>
      </c>
      <c r="H76" s="19" t="s">
        <v>119</v>
      </c>
      <c r="I76" s="21"/>
    </row>
    <row r="77" customFormat="false" ht="15" hidden="false" customHeight="false" outlineLevel="0" collapsed="false">
      <c r="A77" s="20" t="s">
        <v>131</v>
      </c>
      <c r="B77" s="16" t="s">
        <v>84</v>
      </c>
      <c r="C77" s="17" t="s">
        <v>335</v>
      </c>
      <c r="D77" s="17" t="s">
        <v>337</v>
      </c>
      <c r="E77" s="16" t="s">
        <v>118</v>
      </c>
      <c r="F77" s="20" t="n">
        <v>4</v>
      </c>
      <c r="G77" s="17" t="s">
        <v>338</v>
      </c>
      <c r="H77" s="19" t="s">
        <v>119</v>
      </c>
      <c r="I77" s="21"/>
    </row>
    <row r="78" customFormat="false" ht="15" hidden="false" customHeight="false" outlineLevel="0" collapsed="false">
      <c r="A78" s="20" t="s">
        <v>131</v>
      </c>
      <c r="B78" s="16" t="s">
        <v>93</v>
      </c>
      <c r="C78" s="17" t="s">
        <v>412</v>
      </c>
      <c r="D78" s="17" t="s">
        <v>414</v>
      </c>
      <c r="E78" s="16" t="s">
        <v>118</v>
      </c>
      <c r="F78" s="20" t="n">
        <v>3</v>
      </c>
      <c r="G78" s="17" t="s">
        <v>200</v>
      </c>
      <c r="H78" s="19" t="s">
        <v>119</v>
      </c>
      <c r="I78" s="21"/>
    </row>
    <row r="79" customFormat="false" ht="15" hidden="false" customHeight="false" outlineLevel="0" collapsed="false">
      <c r="A79" s="20" t="s">
        <v>131</v>
      </c>
      <c r="B79" s="16" t="s">
        <v>93</v>
      </c>
      <c r="C79" s="17" t="s">
        <v>412</v>
      </c>
      <c r="D79" s="17" t="s">
        <v>415</v>
      </c>
      <c r="E79" s="16" t="s">
        <v>118</v>
      </c>
      <c r="F79" s="20" t="n">
        <v>2</v>
      </c>
      <c r="G79" s="17" t="s">
        <v>416</v>
      </c>
      <c r="H79" s="19" t="s">
        <v>119</v>
      </c>
      <c r="I79" s="21"/>
    </row>
    <row r="80" customFormat="false" ht="22.35" hidden="false" customHeight="false" outlineLevel="0" collapsed="false">
      <c r="A80" s="20" t="s">
        <v>131</v>
      </c>
      <c r="B80" s="16" t="s">
        <v>93</v>
      </c>
      <c r="C80" s="17" t="s">
        <v>412</v>
      </c>
      <c r="D80" s="17" t="s">
        <v>417</v>
      </c>
      <c r="E80" s="16" t="s">
        <v>118</v>
      </c>
      <c r="F80" s="20" t="n">
        <v>3</v>
      </c>
      <c r="G80" s="17" t="s">
        <v>418</v>
      </c>
      <c r="H80" s="19" t="s">
        <v>119</v>
      </c>
      <c r="I80" s="21"/>
    </row>
    <row r="81" customFormat="false" ht="15" hidden="false" customHeight="false" outlineLevel="0" collapsed="false">
      <c r="A81" s="20" t="s">
        <v>131</v>
      </c>
      <c r="B81" s="16" t="s">
        <v>81</v>
      </c>
      <c r="C81" s="17" t="s">
        <v>294</v>
      </c>
      <c r="D81" s="17" t="s">
        <v>300</v>
      </c>
      <c r="E81" s="16" t="s">
        <v>118</v>
      </c>
      <c r="F81" s="20" t="n">
        <v>2</v>
      </c>
      <c r="G81" s="17" t="s">
        <v>301</v>
      </c>
      <c r="H81" s="19" t="s">
        <v>119</v>
      </c>
      <c r="I81" s="21"/>
    </row>
    <row r="82" customFormat="false" ht="15" hidden="false" customHeight="false" outlineLevel="0" collapsed="false">
      <c r="A82" s="20" t="s">
        <v>131</v>
      </c>
      <c r="B82" s="16" t="s">
        <v>81</v>
      </c>
      <c r="C82" s="17" t="s">
        <v>294</v>
      </c>
      <c r="D82" s="17" t="s">
        <v>302</v>
      </c>
      <c r="E82" s="16" t="s">
        <v>118</v>
      </c>
      <c r="F82" s="20" t="n">
        <v>3</v>
      </c>
      <c r="G82" s="17" t="s">
        <v>303</v>
      </c>
      <c r="H82" s="19" t="s">
        <v>119</v>
      </c>
      <c r="I82" s="21"/>
    </row>
    <row r="83" customFormat="false" ht="15" hidden="false" customHeight="false" outlineLevel="0" collapsed="false">
      <c r="A83" s="20" t="s">
        <v>131</v>
      </c>
      <c r="B83" s="16" t="s">
        <v>96</v>
      </c>
      <c r="C83" s="17" t="s">
        <v>441</v>
      </c>
      <c r="D83" s="17" t="s">
        <v>443</v>
      </c>
      <c r="E83" s="16" t="s">
        <v>118</v>
      </c>
      <c r="F83" s="20" t="n">
        <v>3</v>
      </c>
      <c r="G83" s="17"/>
      <c r="H83" s="19" t="s">
        <v>119</v>
      </c>
      <c r="I83" s="21"/>
    </row>
    <row r="84" customFormat="false" ht="15" hidden="false" customHeight="false" outlineLevel="0" collapsed="false">
      <c r="A84" s="20" t="s">
        <v>131</v>
      </c>
      <c r="B84" s="16" t="s">
        <v>96</v>
      </c>
      <c r="C84" s="17" t="s">
        <v>441</v>
      </c>
      <c r="D84" s="17" t="s">
        <v>444</v>
      </c>
      <c r="E84" s="16" t="s">
        <v>118</v>
      </c>
      <c r="F84" s="20" t="n">
        <v>3</v>
      </c>
      <c r="G84" s="17" t="s">
        <v>445</v>
      </c>
      <c r="H84" s="19" t="s">
        <v>119</v>
      </c>
      <c r="I84" s="21"/>
    </row>
    <row r="85" customFormat="false" ht="15" hidden="false" customHeight="false" outlineLevel="0" collapsed="false">
      <c r="A85" s="20" t="s">
        <v>131</v>
      </c>
      <c r="B85" s="16" t="s">
        <v>96</v>
      </c>
      <c r="C85" s="17" t="s">
        <v>441</v>
      </c>
      <c r="D85" s="17" t="s">
        <v>446</v>
      </c>
      <c r="E85" s="16" t="s">
        <v>118</v>
      </c>
      <c r="F85" s="20" t="n">
        <v>2</v>
      </c>
      <c r="G85" s="17" t="s">
        <v>185</v>
      </c>
      <c r="H85" s="19" t="s">
        <v>119</v>
      </c>
      <c r="I85" s="21"/>
    </row>
    <row r="86" customFormat="false" ht="15" hidden="false" customHeight="false" outlineLevel="0" collapsed="false">
      <c r="A86" s="20" t="s">
        <v>131</v>
      </c>
      <c r="B86" s="16" t="s">
        <v>75</v>
      </c>
      <c r="C86" s="17" t="s">
        <v>211</v>
      </c>
      <c r="D86" s="17" t="s">
        <v>215</v>
      </c>
      <c r="E86" s="16" t="s">
        <v>118</v>
      </c>
      <c r="F86" s="20" t="n">
        <v>2</v>
      </c>
      <c r="G86" s="17" t="s">
        <v>216</v>
      </c>
      <c r="H86" s="19" t="s">
        <v>119</v>
      </c>
      <c r="I86" s="21"/>
    </row>
    <row r="87" customFormat="false" ht="15" hidden="false" customHeight="false" outlineLevel="0" collapsed="false">
      <c r="A87" s="20" t="s">
        <v>131</v>
      </c>
      <c r="B87" s="16" t="s">
        <v>68</v>
      </c>
      <c r="C87" s="17"/>
      <c r="D87" s="17" t="s">
        <v>130</v>
      </c>
      <c r="E87" s="16" t="s">
        <v>118</v>
      </c>
      <c r="F87" s="20" t="n">
        <v>1</v>
      </c>
      <c r="G87" s="17" t="s">
        <v>132</v>
      </c>
      <c r="H87" s="19" t="s">
        <v>119</v>
      </c>
      <c r="I87" s="21"/>
    </row>
    <row r="88" customFormat="false" ht="15" hidden="false" customHeight="false" outlineLevel="0" collapsed="false">
      <c r="A88" s="20" t="s">
        <v>131</v>
      </c>
      <c r="B88" s="16" t="s">
        <v>68</v>
      </c>
      <c r="C88" s="17"/>
      <c r="D88" s="17" t="s">
        <v>133</v>
      </c>
      <c r="E88" s="16" t="s">
        <v>118</v>
      </c>
      <c r="F88" s="20" t="n">
        <v>1</v>
      </c>
      <c r="G88" s="17" t="s">
        <v>134</v>
      </c>
      <c r="H88" s="19" t="s">
        <v>119</v>
      </c>
      <c r="I88" s="21"/>
    </row>
    <row r="89" customFormat="false" ht="15" hidden="false" customHeight="false" outlineLevel="0" collapsed="false">
      <c r="A89" s="20" t="s">
        <v>131</v>
      </c>
      <c r="B89" s="16" t="s">
        <v>68</v>
      </c>
      <c r="C89" s="17"/>
      <c r="D89" s="17" t="s">
        <v>135</v>
      </c>
      <c r="E89" s="16" t="s">
        <v>118</v>
      </c>
      <c r="F89" s="20" t="n">
        <v>1</v>
      </c>
      <c r="G89" s="17" t="s">
        <v>136</v>
      </c>
      <c r="H89" s="19" t="s">
        <v>119</v>
      </c>
      <c r="I89" s="21"/>
    </row>
    <row r="90" customFormat="false" ht="15" hidden="false" customHeight="false" outlineLevel="0" collapsed="false">
      <c r="A90" s="20" t="s">
        <v>196</v>
      </c>
      <c r="B90" s="16" t="s">
        <v>72</v>
      </c>
      <c r="C90" s="17"/>
      <c r="D90" s="17" t="s">
        <v>195</v>
      </c>
      <c r="E90" s="16" t="s">
        <v>118</v>
      </c>
      <c r="F90" s="20" t="n">
        <v>2</v>
      </c>
      <c r="G90" s="17" t="s">
        <v>197</v>
      </c>
      <c r="H90" s="19" t="s">
        <v>119</v>
      </c>
      <c r="I90" s="21"/>
    </row>
    <row r="91" customFormat="false" ht="15" hidden="false" customHeight="false" outlineLevel="0" collapsed="false">
      <c r="A91" s="20" t="s">
        <v>196</v>
      </c>
      <c r="B91" s="16" t="s">
        <v>78</v>
      </c>
      <c r="C91" s="17" t="s">
        <v>255</v>
      </c>
      <c r="D91" s="17" t="s">
        <v>257</v>
      </c>
      <c r="E91" s="16" t="s">
        <v>118</v>
      </c>
      <c r="F91" s="20" t="n">
        <v>2</v>
      </c>
      <c r="G91" s="17" t="s">
        <v>258</v>
      </c>
      <c r="H91" s="19" t="s">
        <v>119</v>
      </c>
      <c r="I91" s="21"/>
    </row>
    <row r="92" customFormat="false" ht="15" hidden="false" customHeight="false" outlineLevel="0" collapsed="false">
      <c r="A92" s="20" t="s">
        <v>196</v>
      </c>
      <c r="B92" s="16" t="s">
        <v>78</v>
      </c>
      <c r="C92" s="17" t="s">
        <v>255</v>
      </c>
      <c r="D92" s="17" t="s">
        <v>259</v>
      </c>
      <c r="E92" s="16" t="s">
        <v>118</v>
      </c>
      <c r="F92" s="20" t="n">
        <v>1</v>
      </c>
      <c r="G92" s="17"/>
      <c r="H92" s="19" t="s">
        <v>119</v>
      </c>
      <c r="I92" s="21"/>
    </row>
    <row r="93" customFormat="false" ht="15" hidden="false" customHeight="false" outlineLevel="0" collapsed="false">
      <c r="A93" s="20" t="s">
        <v>196</v>
      </c>
      <c r="B93" s="16" t="s">
        <v>84</v>
      </c>
      <c r="C93" s="17" t="s">
        <v>335</v>
      </c>
      <c r="D93" s="17" t="s">
        <v>339</v>
      </c>
      <c r="E93" s="16" t="s">
        <v>118</v>
      </c>
      <c r="F93" s="20" t="n">
        <v>5</v>
      </c>
      <c r="G93" s="17" t="s">
        <v>340</v>
      </c>
      <c r="H93" s="19" t="s">
        <v>119</v>
      </c>
      <c r="I93" s="21"/>
    </row>
    <row r="94" customFormat="false" ht="15" hidden="false" customHeight="false" outlineLevel="0" collapsed="false">
      <c r="A94" s="20" t="s">
        <v>196</v>
      </c>
      <c r="B94" s="16" t="s">
        <v>84</v>
      </c>
      <c r="C94" s="17" t="s">
        <v>335</v>
      </c>
      <c r="D94" s="17" t="s">
        <v>192</v>
      </c>
      <c r="E94" s="16" t="s">
        <v>118</v>
      </c>
      <c r="F94" s="20" t="n">
        <v>2</v>
      </c>
      <c r="G94" s="17" t="s">
        <v>335</v>
      </c>
      <c r="H94" s="19" t="s">
        <v>119</v>
      </c>
      <c r="I94" s="21"/>
    </row>
    <row r="95" customFormat="false" ht="15" hidden="false" customHeight="false" outlineLevel="0" collapsed="false">
      <c r="A95" s="20" t="s">
        <v>196</v>
      </c>
      <c r="B95" s="16" t="s">
        <v>84</v>
      </c>
      <c r="C95" s="17"/>
      <c r="D95" s="17" t="s">
        <v>346</v>
      </c>
      <c r="E95" s="16" t="s">
        <v>118</v>
      </c>
      <c r="F95" s="20" t="n">
        <v>1</v>
      </c>
      <c r="G95" s="17" t="s">
        <v>335</v>
      </c>
      <c r="H95" s="19" t="s">
        <v>119</v>
      </c>
      <c r="I95" s="21"/>
    </row>
    <row r="96" customFormat="false" ht="15" hidden="false" customHeight="false" outlineLevel="0" collapsed="false">
      <c r="A96" s="20" t="s">
        <v>196</v>
      </c>
      <c r="B96" s="16" t="s">
        <v>81</v>
      </c>
      <c r="C96" s="17" t="s">
        <v>294</v>
      </c>
      <c r="D96" s="17" t="s">
        <v>304</v>
      </c>
      <c r="E96" s="16" t="s">
        <v>118</v>
      </c>
      <c r="F96" s="20" t="n">
        <v>2</v>
      </c>
      <c r="G96" s="17" t="s">
        <v>305</v>
      </c>
      <c r="H96" s="19" t="s">
        <v>119</v>
      </c>
      <c r="I96" s="21"/>
    </row>
    <row r="97" customFormat="false" ht="22.35" hidden="false" customHeight="false" outlineLevel="0" collapsed="false">
      <c r="A97" s="20" t="s">
        <v>196</v>
      </c>
      <c r="B97" s="16" t="s">
        <v>75</v>
      </c>
      <c r="C97" s="17"/>
      <c r="D97" s="17" t="s">
        <v>217</v>
      </c>
      <c r="E97" s="16" t="s">
        <v>118</v>
      </c>
      <c r="F97" s="20" t="n">
        <v>2</v>
      </c>
      <c r="G97" s="17" t="s">
        <v>218</v>
      </c>
      <c r="H97" s="19" t="s">
        <v>119</v>
      </c>
      <c r="I97" s="21"/>
    </row>
    <row r="98" customFormat="false" ht="15" hidden="false" customHeight="false" outlineLevel="0" collapsed="false">
      <c r="A98" s="20" t="s">
        <v>220</v>
      </c>
      <c r="B98" s="16" t="s">
        <v>90</v>
      </c>
      <c r="C98" s="17" t="s">
        <v>391</v>
      </c>
      <c r="D98" s="17" t="s">
        <v>393</v>
      </c>
      <c r="E98" s="16" t="s">
        <v>118</v>
      </c>
      <c r="F98" s="20" t="n">
        <v>3</v>
      </c>
      <c r="G98" s="17" t="s">
        <v>352</v>
      </c>
      <c r="H98" s="19" t="s">
        <v>119</v>
      </c>
      <c r="I98" s="21"/>
    </row>
    <row r="99" customFormat="false" ht="15" hidden="false" customHeight="false" outlineLevel="0" collapsed="false">
      <c r="A99" s="20" t="s">
        <v>220</v>
      </c>
      <c r="B99" s="16" t="s">
        <v>90</v>
      </c>
      <c r="C99" s="17" t="s">
        <v>391</v>
      </c>
      <c r="D99" s="17" t="s">
        <v>394</v>
      </c>
      <c r="E99" s="16" t="s">
        <v>118</v>
      </c>
      <c r="F99" s="20" t="n">
        <v>2</v>
      </c>
      <c r="G99" s="17" t="s">
        <v>395</v>
      </c>
      <c r="H99" s="19" t="s">
        <v>119</v>
      </c>
      <c r="I99" s="21"/>
    </row>
    <row r="100" customFormat="false" ht="15" hidden="false" customHeight="false" outlineLevel="0" collapsed="false">
      <c r="A100" s="20" t="s">
        <v>220</v>
      </c>
      <c r="B100" s="16" t="s">
        <v>93</v>
      </c>
      <c r="C100" s="17" t="s">
        <v>419</v>
      </c>
      <c r="D100" s="17" t="s">
        <v>421</v>
      </c>
      <c r="E100" s="16" t="s">
        <v>118</v>
      </c>
      <c r="F100" s="20" t="n">
        <v>2</v>
      </c>
      <c r="G100" s="17" t="s">
        <v>412</v>
      </c>
      <c r="H100" s="19" t="s">
        <v>119</v>
      </c>
      <c r="I100" s="21"/>
    </row>
    <row r="101" customFormat="false" ht="15" hidden="false" customHeight="false" outlineLevel="0" collapsed="false">
      <c r="A101" s="20" t="s">
        <v>220</v>
      </c>
      <c r="B101" s="16" t="s">
        <v>93</v>
      </c>
      <c r="C101" s="17" t="s">
        <v>419</v>
      </c>
      <c r="D101" s="17" t="s">
        <v>422</v>
      </c>
      <c r="E101" s="16" t="s">
        <v>118</v>
      </c>
      <c r="F101" s="20" t="n">
        <v>5</v>
      </c>
      <c r="G101" s="17" t="s">
        <v>423</v>
      </c>
      <c r="H101" s="19" t="s">
        <v>119</v>
      </c>
      <c r="I101" s="21"/>
    </row>
    <row r="102" customFormat="false" ht="15" hidden="false" customHeight="false" outlineLevel="0" collapsed="false">
      <c r="A102" s="20" t="s">
        <v>220</v>
      </c>
      <c r="B102" s="16" t="s">
        <v>93</v>
      </c>
      <c r="C102" s="17" t="s">
        <v>419</v>
      </c>
      <c r="D102" s="17" t="s">
        <v>424</v>
      </c>
      <c r="E102" s="16" t="s">
        <v>118</v>
      </c>
      <c r="F102" s="20" t="n">
        <v>2</v>
      </c>
      <c r="G102" s="17" t="s">
        <v>425</v>
      </c>
      <c r="H102" s="19" t="s">
        <v>119</v>
      </c>
      <c r="I102" s="21"/>
    </row>
    <row r="103" customFormat="false" ht="15" hidden="false" customHeight="false" outlineLevel="0" collapsed="false">
      <c r="A103" s="20" t="s">
        <v>220</v>
      </c>
      <c r="B103" s="16" t="s">
        <v>81</v>
      </c>
      <c r="C103" s="17" t="s">
        <v>315</v>
      </c>
      <c r="D103" s="17" t="s">
        <v>318</v>
      </c>
      <c r="E103" s="16" t="s">
        <v>118</v>
      </c>
      <c r="F103" s="20" t="n">
        <v>1</v>
      </c>
      <c r="G103" s="17" t="s">
        <v>319</v>
      </c>
      <c r="H103" s="19" t="s">
        <v>119</v>
      </c>
      <c r="I103" s="21"/>
    </row>
    <row r="104" customFormat="false" ht="15" hidden="false" customHeight="false" outlineLevel="0" collapsed="false">
      <c r="A104" s="20" t="s">
        <v>220</v>
      </c>
      <c r="B104" s="16" t="s">
        <v>87</v>
      </c>
      <c r="C104" s="17" t="s">
        <v>349</v>
      </c>
      <c r="D104" s="17" t="s">
        <v>351</v>
      </c>
      <c r="E104" s="16" t="s">
        <v>118</v>
      </c>
      <c r="F104" s="20" t="n">
        <v>4</v>
      </c>
      <c r="G104" s="17" t="s">
        <v>352</v>
      </c>
      <c r="H104" s="19" t="s">
        <v>119</v>
      </c>
      <c r="I104" s="21"/>
    </row>
    <row r="105" customFormat="false" ht="15" hidden="false" customHeight="false" outlineLevel="0" collapsed="false">
      <c r="A105" s="20" t="s">
        <v>220</v>
      </c>
      <c r="B105" s="16" t="s">
        <v>87</v>
      </c>
      <c r="C105" s="17" t="s">
        <v>349</v>
      </c>
      <c r="D105" s="17" t="s">
        <v>353</v>
      </c>
      <c r="E105" s="16" t="s">
        <v>118</v>
      </c>
      <c r="F105" s="20" t="n">
        <v>4</v>
      </c>
      <c r="G105" s="17" t="s">
        <v>354</v>
      </c>
      <c r="H105" s="19" t="s">
        <v>119</v>
      </c>
      <c r="I105" s="21"/>
    </row>
    <row r="106" customFormat="false" ht="15" hidden="false" customHeight="false" outlineLevel="0" collapsed="false">
      <c r="A106" s="20" t="s">
        <v>220</v>
      </c>
      <c r="B106" s="16" t="s">
        <v>87</v>
      </c>
      <c r="C106" s="17" t="s">
        <v>349</v>
      </c>
      <c r="D106" s="17" t="s">
        <v>355</v>
      </c>
      <c r="E106" s="16" t="s">
        <v>118</v>
      </c>
      <c r="F106" s="20" t="n">
        <v>3</v>
      </c>
      <c r="G106" s="17" t="s">
        <v>356</v>
      </c>
      <c r="H106" s="19" t="s">
        <v>119</v>
      </c>
      <c r="I106" s="21"/>
    </row>
    <row r="107" customFormat="false" ht="15" hidden="false" customHeight="false" outlineLevel="0" collapsed="false">
      <c r="A107" s="20" t="s">
        <v>220</v>
      </c>
      <c r="B107" s="16" t="s">
        <v>87</v>
      </c>
      <c r="C107" s="17" t="s">
        <v>359</v>
      </c>
      <c r="D107" s="17" t="s">
        <v>361</v>
      </c>
      <c r="E107" s="16" t="s">
        <v>118</v>
      </c>
      <c r="F107" s="20" t="n">
        <v>4</v>
      </c>
      <c r="G107" s="17"/>
      <c r="H107" s="19" t="s">
        <v>119</v>
      </c>
      <c r="I107" s="21"/>
    </row>
    <row r="108" customFormat="false" ht="15" hidden="false" customHeight="false" outlineLevel="0" collapsed="false">
      <c r="A108" s="20" t="s">
        <v>220</v>
      </c>
      <c r="B108" s="16" t="s">
        <v>87</v>
      </c>
      <c r="C108" s="17" t="s">
        <v>359</v>
      </c>
      <c r="D108" s="17" t="s">
        <v>362</v>
      </c>
      <c r="E108" s="16" t="s">
        <v>118</v>
      </c>
      <c r="F108" s="20" t="n">
        <v>1</v>
      </c>
      <c r="G108" s="17"/>
      <c r="H108" s="19" t="s">
        <v>119</v>
      </c>
      <c r="I108" s="21"/>
    </row>
    <row r="109" customFormat="false" ht="15" hidden="false" customHeight="false" outlineLevel="0" collapsed="false">
      <c r="A109" s="20" t="s">
        <v>220</v>
      </c>
      <c r="B109" s="16" t="s">
        <v>75</v>
      </c>
      <c r="C109" s="17"/>
      <c r="D109" s="17" t="s">
        <v>219</v>
      </c>
      <c r="E109" s="16" t="s">
        <v>118</v>
      </c>
      <c r="F109" s="20" t="n">
        <v>3</v>
      </c>
      <c r="G109" s="17" t="s">
        <v>221</v>
      </c>
      <c r="H109" s="19" t="s">
        <v>119</v>
      </c>
      <c r="I109" s="21"/>
    </row>
    <row r="110" customFormat="false" ht="22.35" hidden="false" customHeight="false" outlineLevel="0" collapsed="false">
      <c r="A110" s="20" t="s">
        <v>311</v>
      </c>
      <c r="B110" s="16" t="s">
        <v>90</v>
      </c>
      <c r="C110" s="17" t="s">
        <v>396</v>
      </c>
      <c r="D110" s="17" t="s">
        <v>398</v>
      </c>
      <c r="E110" s="16" t="s">
        <v>118</v>
      </c>
      <c r="F110" s="20" t="n">
        <v>3</v>
      </c>
      <c r="G110" s="17" t="s">
        <v>391</v>
      </c>
      <c r="H110" s="19" t="s">
        <v>119</v>
      </c>
      <c r="I110" s="21"/>
    </row>
    <row r="111" customFormat="false" ht="22.35" hidden="false" customHeight="false" outlineLevel="0" collapsed="false">
      <c r="A111" s="20" t="s">
        <v>311</v>
      </c>
      <c r="B111" s="16" t="s">
        <v>90</v>
      </c>
      <c r="C111" s="17" t="s">
        <v>396</v>
      </c>
      <c r="D111" s="17" t="s">
        <v>399</v>
      </c>
      <c r="E111" s="16" t="s">
        <v>118</v>
      </c>
      <c r="F111" s="20" t="n">
        <v>3</v>
      </c>
      <c r="G111" s="17" t="s">
        <v>400</v>
      </c>
      <c r="H111" s="19" t="s">
        <v>119</v>
      </c>
      <c r="I111" s="21"/>
    </row>
    <row r="112" customFormat="false" ht="15" hidden="false" customHeight="false" outlineLevel="0" collapsed="false">
      <c r="A112" s="20" t="s">
        <v>311</v>
      </c>
      <c r="B112" s="16" t="s">
        <v>90</v>
      </c>
      <c r="C112" s="17" t="s">
        <v>396</v>
      </c>
      <c r="D112" s="17" t="s">
        <v>401</v>
      </c>
      <c r="E112" s="16" t="s">
        <v>118</v>
      </c>
      <c r="F112" s="20" t="n">
        <v>2</v>
      </c>
      <c r="G112" s="17" t="s">
        <v>402</v>
      </c>
      <c r="H112" s="19" t="s">
        <v>119</v>
      </c>
      <c r="I112" s="21"/>
    </row>
    <row r="113" customFormat="false" ht="15" hidden="false" customHeight="false" outlineLevel="0" collapsed="false">
      <c r="A113" s="20" t="s">
        <v>311</v>
      </c>
      <c r="B113" s="16" t="s">
        <v>93</v>
      </c>
      <c r="C113" s="17" t="s">
        <v>426</v>
      </c>
      <c r="D113" s="17" t="s">
        <v>428</v>
      </c>
      <c r="E113" s="16" t="s">
        <v>118</v>
      </c>
      <c r="F113" s="20" t="n">
        <v>4</v>
      </c>
      <c r="G113" s="17" t="s">
        <v>400</v>
      </c>
      <c r="H113" s="19" t="s">
        <v>119</v>
      </c>
      <c r="I113" s="21"/>
    </row>
    <row r="114" customFormat="false" ht="15" hidden="false" customHeight="false" outlineLevel="0" collapsed="false">
      <c r="A114" s="20" t="s">
        <v>311</v>
      </c>
      <c r="B114" s="16" t="s">
        <v>93</v>
      </c>
      <c r="C114" s="17" t="s">
        <v>426</v>
      </c>
      <c r="D114" s="17" t="s">
        <v>429</v>
      </c>
      <c r="E114" s="16" t="s">
        <v>118</v>
      </c>
      <c r="F114" s="20" t="n">
        <v>3</v>
      </c>
      <c r="G114" s="17" t="s">
        <v>430</v>
      </c>
      <c r="H114" s="19" t="s">
        <v>119</v>
      </c>
      <c r="I114" s="21"/>
    </row>
    <row r="115" customFormat="false" ht="15" hidden="false" customHeight="false" outlineLevel="0" collapsed="false">
      <c r="A115" s="20" t="s">
        <v>311</v>
      </c>
      <c r="B115" s="16" t="s">
        <v>93</v>
      </c>
      <c r="C115" s="17" t="s">
        <v>426</v>
      </c>
      <c r="D115" s="17" t="s">
        <v>431</v>
      </c>
      <c r="E115" s="16" t="s">
        <v>118</v>
      </c>
      <c r="F115" s="20" t="n">
        <v>3</v>
      </c>
      <c r="G115" s="17" t="s">
        <v>432</v>
      </c>
      <c r="H115" s="19" t="s">
        <v>119</v>
      </c>
      <c r="I115" s="21"/>
    </row>
    <row r="116" customFormat="false" ht="15" hidden="false" customHeight="false" outlineLevel="0" collapsed="false">
      <c r="A116" s="20" t="s">
        <v>311</v>
      </c>
      <c r="B116" s="16" t="s">
        <v>93</v>
      </c>
      <c r="C116" s="17" t="s">
        <v>426</v>
      </c>
      <c r="D116" s="17" t="s">
        <v>433</v>
      </c>
      <c r="E116" s="16" t="s">
        <v>118</v>
      </c>
      <c r="F116" s="20" t="n">
        <v>2</v>
      </c>
      <c r="G116" s="17" t="s">
        <v>434</v>
      </c>
      <c r="H116" s="19" t="s">
        <v>119</v>
      </c>
      <c r="I116" s="21"/>
    </row>
    <row r="117" customFormat="false" ht="15" hidden="false" customHeight="false" outlineLevel="0" collapsed="false">
      <c r="A117" s="20" t="s">
        <v>311</v>
      </c>
      <c r="B117" s="16" t="s">
        <v>81</v>
      </c>
      <c r="C117" s="17" t="s">
        <v>306</v>
      </c>
      <c r="D117" s="17" t="s">
        <v>310</v>
      </c>
      <c r="E117" s="16" t="s">
        <v>118</v>
      </c>
      <c r="F117" s="20" t="n">
        <v>2</v>
      </c>
      <c r="G117" s="17" t="s">
        <v>312</v>
      </c>
      <c r="H117" s="19" t="s">
        <v>119</v>
      </c>
      <c r="I117" s="21"/>
    </row>
    <row r="118" customFormat="false" ht="15" hidden="false" customHeight="false" outlineLevel="0" collapsed="false">
      <c r="A118" s="20" t="s">
        <v>311</v>
      </c>
      <c r="B118" s="16" t="s">
        <v>87</v>
      </c>
      <c r="C118" s="17" t="s">
        <v>359</v>
      </c>
      <c r="D118" s="17" t="s">
        <v>363</v>
      </c>
      <c r="E118" s="16" t="s">
        <v>118</v>
      </c>
      <c r="F118" s="20" t="n">
        <v>5</v>
      </c>
      <c r="G118" s="17" t="s">
        <v>364</v>
      </c>
      <c r="H118" s="19" t="s">
        <v>119</v>
      </c>
      <c r="I118" s="21"/>
    </row>
    <row r="119" customFormat="false" ht="15" hidden="false" customHeight="false" outlineLevel="0" collapsed="false">
      <c r="A119" s="20" t="s">
        <v>368</v>
      </c>
      <c r="B119" s="16" t="s">
        <v>90</v>
      </c>
      <c r="C119" s="17" t="s">
        <v>403</v>
      </c>
      <c r="D119" s="17" t="s">
        <v>405</v>
      </c>
      <c r="E119" s="16" t="s">
        <v>118</v>
      </c>
      <c r="F119" s="20" t="n">
        <v>5</v>
      </c>
      <c r="G119" s="17" t="s">
        <v>400</v>
      </c>
      <c r="H119" s="19" t="s">
        <v>119</v>
      </c>
      <c r="I119" s="21"/>
    </row>
    <row r="120" customFormat="false" ht="15" hidden="false" customHeight="false" outlineLevel="0" collapsed="false">
      <c r="A120" s="20" t="s">
        <v>368</v>
      </c>
      <c r="B120" s="16" t="s">
        <v>90</v>
      </c>
      <c r="C120" s="17" t="s">
        <v>403</v>
      </c>
      <c r="D120" s="17" t="s">
        <v>406</v>
      </c>
      <c r="E120" s="16" t="s">
        <v>118</v>
      </c>
      <c r="F120" s="20" t="n">
        <v>3</v>
      </c>
      <c r="G120" s="17" t="s">
        <v>407</v>
      </c>
      <c r="H120" s="19" t="s">
        <v>119</v>
      </c>
      <c r="I120" s="21"/>
    </row>
    <row r="121" customFormat="false" ht="15" hidden="false" customHeight="false" outlineLevel="0" collapsed="false">
      <c r="A121" s="20" t="s">
        <v>368</v>
      </c>
      <c r="B121" s="16" t="s">
        <v>93</v>
      </c>
      <c r="C121" s="17" t="s">
        <v>435</v>
      </c>
      <c r="D121" s="17" t="s">
        <v>437</v>
      </c>
      <c r="E121" s="16" t="s">
        <v>118</v>
      </c>
      <c r="F121" s="20" t="n">
        <v>5</v>
      </c>
      <c r="G121" s="17" t="s">
        <v>438</v>
      </c>
      <c r="H121" s="19" t="s">
        <v>119</v>
      </c>
      <c r="I121" s="21"/>
    </row>
    <row r="122" customFormat="false" ht="15" hidden="false" customHeight="false" outlineLevel="0" collapsed="false">
      <c r="A122" s="20" t="s">
        <v>368</v>
      </c>
      <c r="B122" s="16" t="s">
        <v>93</v>
      </c>
      <c r="C122" s="17" t="s">
        <v>435</v>
      </c>
      <c r="D122" s="17" t="s">
        <v>439</v>
      </c>
      <c r="E122" s="16" t="s">
        <v>118</v>
      </c>
      <c r="F122" s="20" t="n">
        <v>3</v>
      </c>
      <c r="G122" s="17" t="s">
        <v>440</v>
      </c>
      <c r="H122" s="19" t="s">
        <v>119</v>
      </c>
      <c r="I122" s="21"/>
    </row>
    <row r="123" customFormat="false" ht="15" hidden="false" customHeight="false" outlineLevel="0" collapsed="false">
      <c r="A123" s="20" t="s">
        <v>368</v>
      </c>
      <c r="B123" s="16" t="s">
        <v>93</v>
      </c>
      <c r="C123" s="17" t="s">
        <v>435</v>
      </c>
      <c r="D123" s="17" t="s">
        <v>192</v>
      </c>
      <c r="E123" s="16" t="s">
        <v>118</v>
      </c>
      <c r="F123" s="20" t="n">
        <v>2</v>
      </c>
      <c r="G123" s="17" t="s">
        <v>440</v>
      </c>
      <c r="H123" s="19" t="s">
        <v>119</v>
      </c>
      <c r="I123" s="21"/>
    </row>
    <row r="124" customFormat="false" ht="22.35" hidden="false" customHeight="false" outlineLevel="0" collapsed="false">
      <c r="A124" s="20" t="s">
        <v>368</v>
      </c>
      <c r="B124" s="16" t="s">
        <v>87</v>
      </c>
      <c r="C124" s="17" t="s">
        <v>365</v>
      </c>
      <c r="D124" s="17" t="s">
        <v>367</v>
      </c>
      <c r="E124" s="16" t="s">
        <v>118</v>
      </c>
      <c r="F124" s="20" t="n">
        <v>5</v>
      </c>
      <c r="G124" s="17" t="s">
        <v>369</v>
      </c>
      <c r="H124" s="19" t="s">
        <v>119</v>
      </c>
      <c r="I124" s="21"/>
    </row>
    <row r="125" customFormat="false" ht="15" hidden="false" customHeight="false" outlineLevel="0" collapsed="false">
      <c r="A125" s="20" t="s">
        <v>371</v>
      </c>
      <c r="B125" s="16" t="s">
        <v>90</v>
      </c>
      <c r="C125" s="17" t="s">
        <v>408</v>
      </c>
      <c r="D125" s="17" t="s">
        <v>410</v>
      </c>
      <c r="E125" s="16" t="s">
        <v>118</v>
      </c>
      <c r="F125" s="20" t="n">
        <v>2</v>
      </c>
      <c r="G125" s="17" t="s">
        <v>407</v>
      </c>
      <c r="H125" s="19" t="s">
        <v>119</v>
      </c>
      <c r="I125" s="21"/>
    </row>
    <row r="126" customFormat="false" ht="15" hidden="false" customHeight="false" outlineLevel="0" collapsed="false">
      <c r="A126" s="20" t="s">
        <v>371</v>
      </c>
      <c r="B126" s="16" t="s">
        <v>90</v>
      </c>
      <c r="C126" s="17" t="s">
        <v>408</v>
      </c>
      <c r="D126" s="17" t="s">
        <v>411</v>
      </c>
      <c r="E126" s="16" t="s">
        <v>118</v>
      </c>
      <c r="F126" s="20" t="n">
        <v>2</v>
      </c>
      <c r="G126" s="17" t="s">
        <v>407</v>
      </c>
      <c r="H126" s="19" t="s">
        <v>119</v>
      </c>
      <c r="I126" s="21"/>
    </row>
    <row r="127" customFormat="false" ht="15" hidden="false" customHeight="false" outlineLevel="0" collapsed="false">
      <c r="A127" s="20" t="s">
        <v>371</v>
      </c>
      <c r="B127" s="16" t="s">
        <v>87</v>
      </c>
      <c r="C127" s="17" t="s">
        <v>365</v>
      </c>
      <c r="D127" s="17" t="s">
        <v>370</v>
      </c>
      <c r="E127" s="16" t="s">
        <v>118</v>
      </c>
      <c r="F127" s="20" t="n">
        <v>8</v>
      </c>
      <c r="G127" s="17" t="s">
        <v>372</v>
      </c>
      <c r="H127" s="19" t="s">
        <v>119</v>
      </c>
      <c r="I127" s="21"/>
    </row>
    <row r="128" customFormat="false" ht="15" hidden="false" customHeight="false" outlineLevel="0" collapsed="false">
      <c r="A128" s="20" t="s">
        <v>266</v>
      </c>
      <c r="B128" s="16" t="s">
        <v>78</v>
      </c>
      <c r="C128" s="17" t="s">
        <v>263</v>
      </c>
      <c r="D128" s="17" t="s">
        <v>265</v>
      </c>
      <c r="E128" s="16" t="s">
        <v>118</v>
      </c>
      <c r="F128" s="20" t="n">
        <v>3</v>
      </c>
      <c r="G128" s="17" t="s">
        <v>267</v>
      </c>
      <c r="H128" s="19" t="s">
        <v>119</v>
      </c>
      <c r="I128" s="21"/>
    </row>
    <row r="129" customFormat="false" ht="15" hidden="false" customHeight="false" outlineLevel="0" collapsed="false">
      <c r="A129" s="20" t="s">
        <v>266</v>
      </c>
      <c r="B129" s="16" t="s">
        <v>78</v>
      </c>
      <c r="C129" s="17" t="s">
        <v>263</v>
      </c>
      <c r="D129" s="17" t="s">
        <v>268</v>
      </c>
      <c r="E129" s="16" t="s">
        <v>118</v>
      </c>
      <c r="F129" s="20" t="n">
        <v>5</v>
      </c>
      <c r="G129" s="17" t="s">
        <v>269</v>
      </c>
      <c r="H129" s="19" t="s">
        <v>119</v>
      </c>
      <c r="I129" s="21"/>
    </row>
    <row r="130" customFormat="false" ht="15" hidden="false" customHeight="false" outlineLevel="0" collapsed="false">
      <c r="A130" s="20" t="s">
        <v>266</v>
      </c>
      <c r="B130" s="16" t="s">
        <v>87</v>
      </c>
      <c r="C130" s="17" t="s">
        <v>365</v>
      </c>
      <c r="D130" s="17" t="s">
        <v>373</v>
      </c>
      <c r="E130" s="16" t="s">
        <v>118</v>
      </c>
      <c r="F130" s="20" t="n">
        <v>5</v>
      </c>
      <c r="G130" s="17" t="s">
        <v>374</v>
      </c>
      <c r="H130" s="19" t="s">
        <v>119</v>
      </c>
      <c r="I130" s="21"/>
    </row>
    <row r="131" customFormat="false" ht="15" hidden="false" customHeight="false" outlineLevel="0" collapsed="false">
      <c r="A131" s="20" t="s">
        <v>271</v>
      </c>
      <c r="B131" s="16" t="s">
        <v>78</v>
      </c>
      <c r="C131" s="17" t="s">
        <v>263</v>
      </c>
      <c r="D131" s="17" t="s">
        <v>270</v>
      </c>
      <c r="E131" s="16" t="s">
        <v>118</v>
      </c>
      <c r="F131" s="20" t="n">
        <v>5</v>
      </c>
      <c r="G131" s="17" t="s">
        <v>263</v>
      </c>
      <c r="H131" s="19" t="s">
        <v>119</v>
      </c>
      <c r="I131" s="21"/>
    </row>
    <row r="132" customFormat="false" ht="15" hidden="false" customHeight="false" outlineLevel="0" collapsed="false">
      <c r="A132" s="20" t="s">
        <v>271</v>
      </c>
      <c r="B132" s="16" t="s">
        <v>78</v>
      </c>
      <c r="C132" s="17" t="s">
        <v>272</v>
      </c>
      <c r="D132" s="17" t="s">
        <v>274</v>
      </c>
      <c r="E132" s="16" t="s">
        <v>118</v>
      </c>
      <c r="F132" s="20" t="n">
        <v>4</v>
      </c>
      <c r="G132" s="17" t="s">
        <v>275</v>
      </c>
      <c r="H132" s="19" t="s">
        <v>119</v>
      </c>
      <c r="I132" s="21"/>
    </row>
    <row r="133" customFormat="false" ht="15" hidden="false" customHeight="false" outlineLevel="0" collapsed="false">
      <c r="A133" s="20" t="s">
        <v>271</v>
      </c>
      <c r="B133" s="16" t="s">
        <v>81</v>
      </c>
      <c r="C133" s="17" t="s">
        <v>306</v>
      </c>
      <c r="D133" s="17" t="s">
        <v>313</v>
      </c>
      <c r="E133" s="16" t="s">
        <v>118</v>
      </c>
      <c r="F133" s="20" t="n">
        <v>3</v>
      </c>
      <c r="G133" s="17" t="s">
        <v>314</v>
      </c>
      <c r="H133" s="19" t="s">
        <v>119</v>
      </c>
      <c r="I133" s="21"/>
    </row>
    <row r="134" customFormat="false" ht="15" hidden="false" customHeight="false" outlineLevel="0" collapsed="false">
      <c r="A134" s="20" t="s">
        <v>271</v>
      </c>
      <c r="B134" s="16" t="s">
        <v>87</v>
      </c>
      <c r="C134" s="17" t="s">
        <v>375</v>
      </c>
      <c r="D134" s="17" t="s">
        <v>377</v>
      </c>
      <c r="E134" s="16" t="s">
        <v>118</v>
      </c>
      <c r="F134" s="20" t="n">
        <v>8</v>
      </c>
      <c r="G134" s="17" t="s">
        <v>378</v>
      </c>
      <c r="H134" s="19" t="s">
        <v>119</v>
      </c>
      <c r="I134" s="21"/>
    </row>
    <row r="135" customFormat="false" ht="15" hidden="false" customHeight="false" outlineLevel="0" collapsed="false">
      <c r="A135" s="20" t="s">
        <v>277</v>
      </c>
      <c r="B135" s="16" t="s">
        <v>78</v>
      </c>
      <c r="C135" s="17" t="s">
        <v>272</v>
      </c>
      <c r="D135" s="17" t="s">
        <v>276</v>
      </c>
      <c r="E135" s="16" t="s">
        <v>118</v>
      </c>
      <c r="F135" s="20" t="n">
        <v>2</v>
      </c>
      <c r="G135" s="17" t="s">
        <v>278</v>
      </c>
      <c r="H135" s="19" t="s">
        <v>119</v>
      </c>
      <c r="I135" s="21"/>
    </row>
    <row r="136" customFormat="false" ht="15" hidden="false" customHeight="false" outlineLevel="0" collapsed="false">
      <c r="A136" s="20" t="s">
        <v>277</v>
      </c>
      <c r="B136" s="16" t="s">
        <v>84</v>
      </c>
      <c r="C136" s="17" t="s">
        <v>341</v>
      </c>
      <c r="D136" s="17" t="s">
        <v>343</v>
      </c>
      <c r="E136" s="16" t="s">
        <v>118</v>
      </c>
      <c r="F136" s="20" t="n">
        <v>4</v>
      </c>
      <c r="G136" s="17" t="s">
        <v>275</v>
      </c>
      <c r="H136" s="19" t="s">
        <v>119</v>
      </c>
      <c r="I136" s="21"/>
    </row>
    <row r="137" customFormat="false" ht="15" hidden="false" customHeight="false" outlineLevel="0" collapsed="false">
      <c r="A137" s="20" t="s">
        <v>277</v>
      </c>
      <c r="B137" s="16" t="s">
        <v>84</v>
      </c>
      <c r="C137" s="17" t="s">
        <v>341</v>
      </c>
      <c r="D137" s="17" t="s">
        <v>344</v>
      </c>
      <c r="E137" s="16" t="s">
        <v>118</v>
      </c>
      <c r="F137" s="20" t="n">
        <v>2</v>
      </c>
      <c r="G137" s="17" t="s">
        <v>345</v>
      </c>
      <c r="H137" s="19" t="s">
        <v>119</v>
      </c>
      <c r="I137" s="21"/>
    </row>
    <row r="138" customFormat="false" ht="15" hidden="false" customHeight="false" outlineLevel="0" collapsed="false">
      <c r="A138" s="20" t="s">
        <v>277</v>
      </c>
      <c r="B138" s="16" t="s">
        <v>84</v>
      </c>
      <c r="C138" s="17"/>
      <c r="D138" s="17" t="s">
        <v>347</v>
      </c>
      <c r="E138" s="16" t="s">
        <v>118</v>
      </c>
      <c r="F138" s="20" t="n">
        <v>1</v>
      </c>
      <c r="G138" s="17" t="s">
        <v>348</v>
      </c>
      <c r="H138" s="19" t="s">
        <v>119</v>
      </c>
      <c r="I138" s="21"/>
    </row>
    <row r="139" customFormat="false" ht="15" hidden="false" customHeight="false" outlineLevel="0" collapsed="false">
      <c r="A139" s="20" t="s">
        <v>277</v>
      </c>
      <c r="B139" s="16" t="s">
        <v>81</v>
      </c>
      <c r="C139" s="17"/>
      <c r="D139" s="17" t="s">
        <v>320</v>
      </c>
      <c r="E139" s="16" t="s">
        <v>118</v>
      </c>
      <c r="F139" s="20" t="n">
        <v>1</v>
      </c>
      <c r="G139" s="17" t="s">
        <v>321</v>
      </c>
      <c r="H139" s="19" t="s">
        <v>119</v>
      </c>
      <c r="I139" s="21"/>
    </row>
    <row r="140" customFormat="false" ht="22.35" hidden="false" customHeight="false" outlineLevel="0" collapsed="false">
      <c r="A140" s="20" t="s">
        <v>277</v>
      </c>
      <c r="B140" s="16" t="s">
        <v>87</v>
      </c>
      <c r="C140" s="17" t="s">
        <v>375</v>
      </c>
      <c r="D140" s="17" t="s">
        <v>379</v>
      </c>
      <c r="E140" s="16" t="s">
        <v>118</v>
      </c>
      <c r="F140" s="20" t="n">
        <v>4</v>
      </c>
      <c r="G140" s="17" t="s">
        <v>380</v>
      </c>
      <c r="H140" s="19" t="s">
        <v>119</v>
      </c>
      <c r="I140" s="21"/>
    </row>
    <row r="141" customFormat="false" ht="15" hidden="false" customHeight="false" outlineLevel="0" collapsed="false">
      <c r="A141" s="20" t="s">
        <v>384</v>
      </c>
      <c r="B141" s="16" t="s">
        <v>87</v>
      </c>
      <c r="C141" s="17" t="s">
        <v>381</v>
      </c>
      <c r="D141" s="17" t="s">
        <v>383</v>
      </c>
      <c r="E141" s="16" t="s">
        <v>118</v>
      </c>
      <c r="F141" s="20" t="n">
        <v>6</v>
      </c>
      <c r="G141" s="17" t="s">
        <v>375</v>
      </c>
      <c r="H141" s="19" t="s">
        <v>119</v>
      </c>
      <c r="I141" s="21"/>
    </row>
    <row r="142" customFormat="false" ht="15" hidden="false" customHeight="false" outlineLevel="0" collapsed="false">
      <c r="A142" s="20" t="s">
        <v>389</v>
      </c>
      <c r="B142" s="16" t="s">
        <v>87</v>
      </c>
      <c r="C142" s="17"/>
      <c r="D142" s="17" t="s">
        <v>388</v>
      </c>
      <c r="E142" s="16" t="s">
        <v>118</v>
      </c>
      <c r="F142" s="20" t="n">
        <v>2</v>
      </c>
      <c r="G142" s="17" t="s">
        <v>390</v>
      </c>
      <c r="H142" s="19" t="s">
        <v>119</v>
      </c>
      <c r="I142" s="21"/>
    </row>
    <row r="143" customFormat="false" ht="15" hidden="false" customHeight="false" outlineLevel="0" collapsed="false">
      <c r="A143" s="20" t="s">
        <v>389</v>
      </c>
      <c r="B143" s="16" t="s">
        <v>96</v>
      </c>
      <c r="C143" s="17" t="s">
        <v>447</v>
      </c>
      <c r="D143" s="17" t="s">
        <v>449</v>
      </c>
      <c r="E143" s="16" t="s">
        <v>118</v>
      </c>
      <c r="F143" s="20" t="n">
        <v>2</v>
      </c>
      <c r="G143" s="17" t="s">
        <v>450</v>
      </c>
      <c r="H143" s="19" t="s">
        <v>119</v>
      </c>
      <c r="I143" s="21"/>
    </row>
    <row r="144" customFormat="false" ht="15" hidden="false" customHeight="false" outlineLevel="0" collapsed="false">
      <c r="A144" s="20" t="s">
        <v>452</v>
      </c>
      <c r="B144" s="16" t="s">
        <v>99</v>
      </c>
      <c r="C144" s="17" t="s">
        <v>457</v>
      </c>
      <c r="D144" s="17" t="s">
        <v>459</v>
      </c>
      <c r="E144" s="16" t="s">
        <v>118</v>
      </c>
      <c r="F144" s="20" t="n">
        <v>3</v>
      </c>
      <c r="G144" s="17" t="s">
        <v>390</v>
      </c>
      <c r="H144" s="19" t="s">
        <v>119</v>
      </c>
      <c r="I144" s="21"/>
    </row>
    <row r="145" customFormat="false" ht="15" hidden="false" customHeight="false" outlineLevel="0" collapsed="false">
      <c r="A145" s="20" t="s">
        <v>452</v>
      </c>
      <c r="B145" s="16" t="s">
        <v>96</v>
      </c>
      <c r="C145" s="17" t="s">
        <v>447</v>
      </c>
      <c r="D145" s="17" t="s">
        <v>451</v>
      </c>
      <c r="E145" s="16" t="s">
        <v>118</v>
      </c>
      <c r="F145" s="20" t="n">
        <v>10</v>
      </c>
      <c r="G145" s="17" t="s">
        <v>453</v>
      </c>
      <c r="H145" s="19" t="s">
        <v>119</v>
      </c>
      <c r="I145" s="21"/>
    </row>
    <row r="146" customFormat="false" ht="15" hidden="false" customHeight="false" outlineLevel="0" collapsed="false">
      <c r="A146" s="20" t="s">
        <v>455</v>
      </c>
      <c r="B146" s="16" t="s">
        <v>99</v>
      </c>
      <c r="C146" s="17" t="s">
        <v>457</v>
      </c>
      <c r="D146" s="17" t="s">
        <v>460</v>
      </c>
      <c r="E146" s="16" t="s">
        <v>118</v>
      </c>
      <c r="F146" s="20" t="n">
        <v>3</v>
      </c>
      <c r="G146" s="17" t="s">
        <v>461</v>
      </c>
      <c r="H146" s="19" t="s">
        <v>119</v>
      </c>
      <c r="I146" s="21"/>
    </row>
    <row r="147" customFormat="false" ht="15" hidden="false" customHeight="false" outlineLevel="0" collapsed="false">
      <c r="A147" s="20" t="s">
        <v>455</v>
      </c>
      <c r="B147" s="16" t="s">
        <v>99</v>
      </c>
      <c r="C147" s="17" t="s">
        <v>457</v>
      </c>
      <c r="D147" s="17" t="s">
        <v>462</v>
      </c>
      <c r="E147" s="16" t="s">
        <v>118</v>
      </c>
      <c r="F147" s="20" t="n">
        <v>3</v>
      </c>
      <c r="G147" s="17"/>
      <c r="H147" s="19" t="s">
        <v>119</v>
      </c>
      <c r="I147" s="21"/>
    </row>
    <row r="148" customFormat="false" ht="15" hidden="false" customHeight="false" outlineLevel="0" collapsed="false">
      <c r="A148" s="20" t="s">
        <v>455</v>
      </c>
      <c r="B148" s="16" t="s">
        <v>96</v>
      </c>
      <c r="C148" s="17" t="s">
        <v>447</v>
      </c>
      <c r="D148" s="17" t="s">
        <v>454</v>
      </c>
      <c r="E148" s="16" t="s">
        <v>118</v>
      </c>
      <c r="F148" s="20" t="n">
        <v>4</v>
      </c>
      <c r="G148" s="17" t="s">
        <v>456</v>
      </c>
      <c r="H148" s="19" t="s">
        <v>119</v>
      </c>
      <c r="I148" s="21"/>
    </row>
    <row r="149" customFormat="false" ht="15" hidden="false" customHeight="false" outlineLevel="0" collapsed="false">
      <c r="A149" s="20" t="s">
        <v>464</v>
      </c>
      <c r="B149" s="16" t="s">
        <v>99</v>
      </c>
      <c r="C149" s="17" t="s">
        <v>457</v>
      </c>
      <c r="D149" s="17" t="s">
        <v>463</v>
      </c>
      <c r="E149" s="16" t="s">
        <v>118</v>
      </c>
      <c r="F149" s="20" t="n">
        <v>5</v>
      </c>
      <c r="G149" s="17" t="s">
        <v>465</v>
      </c>
      <c r="H149" s="19" t="s">
        <v>119</v>
      </c>
      <c r="I149" s="21"/>
    </row>
    <row r="150" customFormat="false" ht="15" hidden="false" customHeight="false" outlineLevel="0" collapsed="false">
      <c r="A150" s="20" t="s">
        <v>464</v>
      </c>
      <c r="B150" s="16" t="s">
        <v>99</v>
      </c>
      <c r="C150" s="17" t="s">
        <v>466</v>
      </c>
      <c r="D150" s="17" t="s">
        <v>468</v>
      </c>
      <c r="E150" s="16" t="s">
        <v>118</v>
      </c>
      <c r="F150" s="20" t="n">
        <v>3</v>
      </c>
      <c r="G150" s="17" t="s">
        <v>469</v>
      </c>
      <c r="H150" s="19" t="s">
        <v>119</v>
      </c>
      <c r="I150" s="21"/>
    </row>
    <row r="151" customFormat="false" ht="22.35" hidden="false" customHeight="false" outlineLevel="0" collapsed="false">
      <c r="A151" s="20" t="s">
        <v>464</v>
      </c>
      <c r="B151" s="16" t="s">
        <v>99</v>
      </c>
      <c r="C151" s="17" t="s">
        <v>466</v>
      </c>
      <c r="D151" s="17" t="s">
        <v>470</v>
      </c>
      <c r="E151" s="16" t="s">
        <v>118</v>
      </c>
      <c r="F151" s="20" t="n">
        <v>1</v>
      </c>
      <c r="G151" s="17" t="s">
        <v>471</v>
      </c>
      <c r="H151" s="19" t="s">
        <v>119</v>
      </c>
      <c r="I151" s="21"/>
    </row>
    <row r="152" customFormat="false" ht="15" hidden="false" customHeight="false" outlineLevel="0" collapsed="false">
      <c r="A152" s="20" t="s">
        <v>386</v>
      </c>
      <c r="B152" s="16" t="s">
        <v>99</v>
      </c>
      <c r="C152" s="17" t="s">
        <v>466</v>
      </c>
      <c r="D152" s="17" t="s">
        <v>472</v>
      </c>
      <c r="E152" s="16" t="s">
        <v>118</v>
      </c>
      <c r="F152" s="20" t="n">
        <v>4</v>
      </c>
      <c r="G152" s="17" t="s">
        <v>473</v>
      </c>
      <c r="H152" s="19" t="s">
        <v>119</v>
      </c>
      <c r="I152" s="21"/>
    </row>
    <row r="153" customFormat="false" ht="15" hidden="false" customHeight="false" outlineLevel="0" collapsed="false">
      <c r="A153" s="20" t="s">
        <v>386</v>
      </c>
      <c r="B153" s="16" t="s">
        <v>87</v>
      </c>
      <c r="C153" s="17" t="s">
        <v>381</v>
      </c>
      <c r="D153" s="17" t="s">
        <v>385</v>
      </c>
      <c r="E153" s="16" t="s">
        <v>118</v>
      </c>
      <c r="F153" s="20" t="n">
        <v>4</v>
      </c>
      <c r="G153" s="17" t="s">
        <v>387</v>
      </c>
      <c r="H153" s="19" t="s">
        <v>119</v>
      </c>
      <c r="I153" s="21"/>
    </row>
    <row r="154" customFormat="false" ht="15" hidden="false" customHeight="false" outlineLevel="0" collapsed="false">
      <c r="A154" s="20" t="s">
        <v>475</v>
      </c>
      <c r="B154" s="16" t="s">
        <v>99</v>
      </c>
      <c r="C154" s="17" t="s">
        <v>466</v>
      </c>
      <c r="D154" s="17" t="s">
        <v>474</v>
      </c>
      <c r="E154" s="16" t="s">
        <v>118</v>
      </c>
      <c r="F154" s="20" t="n">
        <v>5</v>
      </c>
      <c r="G154" s="17" t="s">
        <v>476</v>
      </c>
      <c r="H154" s="19" t="s">
        <v>119</v>
      </c>
      <c r="I154" s="21"/>
    </row>
    <row r="155" customFormat="false" ht="15" hidden="false" customHeight="false" outlineLevel="0" collapsed="false">
      <c r="A155" s="20" t="s">
        <v>261</v>
      </c>
      <c r="B155" s="16" t="s">
        <v>78</v>
      </c>
      <c r="C155" s="17" t="s">
        <v>255</v>
      </c>
      <c r="D155" s="17" t="s">
        <v>260</v>
      </c>
      <c r="E155" s="16" t="s">
        <v>118</v>
      </c>
      <c r="F155" s="20" t="n">
        <v>1</v>
      </c>
      <c r="G155" s="17" t="s">
        <v>262</v>
      </c>
      <c r="H155" s="19" t="s">
        <v>119</v>
      </c>
      <c r="I155" s="21"/>
    </row>
    <row r="156" customFormat="false" ht="15" hidden="false" customHeight="false" outlineLevel="0" collapsed="false">
      <c r="A156" s="20" t="s">
        <v>261</v>
      </c>
      <c r="B156" s="16" t="s">
        <v>81</v>
      </c>
      <c r="C156" s="17" t="s">
        <v>306</v>
      </c>
      <c r="D156" s="17" t="s">
        <v>308</v>
      </c>
      <c r="E156" s="16" t="s">
        <v>118</v>
      </c>
      <c r="F156" s="20" t="n">
        <v>1</v>
      </c>
      <c r="G156" s="17" t="s">
        <v>293</v>
      </c>
      <c r="H156" s="19" t="s">
        <v>119</v>
      </c>
      <c r="I156" s="21"/>
    </row>
    <row r="157" customFormat="false" ht="15" hidden="false" customHeight="false" outlineLevel="0" collapsed="false">
      <c r="A157" s="20" t="s">
        <v>261</v>
      </c>
      <c r="B157" s="16" t="s">
        <v>81</v>
      </c>
      <c r="C157" s="17" t="s">
        <v>306</v>
      </c>
      <c r="D157" s="17" t="s">
        <v>309</v>
      </c>
      <c r="E157" s="16" t="s">
        <v>118</v>
      </c>
      <c r="F157" s="20" t="n">
        <v>2</v>
      </c>
      <c r="G157" s="17" t="s">
        <v>240</v>
      </c>
      <c r="H157" s="19" t="s">
        <v>119</v>
      </c>
      <c r="I157" s="21"/>
    </row>
    <row r="158" customFormat="false" ht="15" hidden="false" customHeight="false" outlineLevel="0" collapsed="false">
      <c r="A158" s="20" t="s">
        <v>261</v>
      </c>
      <c r="B158" s="16" t="s">
        <v>87</v>
      </c>
      <c r="C158" s="17" t="s">
        <v>349</v>
      </c>
      <c r="D158" s="17" t="s">
        <v>357</v>
      </c>
      <c r="E158" s="16" t="s">
        <v>118</v>
      </c>
      <c r="F158" s="20" t="n">
        <v>2</v>
      </c>
      <c r="G158" s="17" t="s">
        <v>358</v>
      </c>
      <c r="H158" s="19" t="s">
        <v>119</v>
      </c>
      <c r="I158" s="21"/>
    </row>
    <row r="159" customFormat="false" ht="15" hidden="false" customHeight="false" outlineLevel="0" collapsed="false">
      <c r="A159" s="20" t="s">
        <v>483</v>
      </c>
      <c r="B159" s="16" t="s">
        <v>102</v>
      </c>
      <c r="C159" s="17" t="s">
        <v>480</v>
      </c>
      <c r="D159" s="17" t="s">
        <v>482</v>
      </c>
      <c r="E159" s="16" t="s">
        <v>118</v>
      </c>
      <c r="F159" s="20" t="n">
        <v>3</v>
      </c>
      <c r="G159" s="17" t="s">
        <v>477</v>
      </c>
      <c r="H159" s="19" t="s">
        <v>119</v>
      </c>
      <c r="I159" s="21"/>
    </row>
    <row r="160" customFormat="false" ht="15" hidden="false" customHeight="false" outlineLevel="0" collapsed="false">
      <c r="A160" s="20" t="s">
        <v>483</v>
      </c>
      <c r="B160" s="16" t="s">
        <v>102</v>
      </c>
      <c r="C160" s="17" t="s">
        <v>480</v>
      </c>
      <c r="D160" s="17" t="s">
        <v>484</v>
      </c>
      <c r="E160" s="16" t="s">
        <v>118</v>
      </c>
      <c r="F160" s="20" t="n">
        <v>3</v>
      </c>
      <c r="G160" s="17" t="s">
        <v>477</v>
      </c>
      <c r="H160" s="19" t="s">
        <v>119</v>
      </c>
      <c r="I160" s="21"/>
    </row>
    <row r="161" customFormat="false" ht="15" hidden="false" customHeight="false" outlineLevel="0" collapsed="false">
      <c r="A161" s="20" t="s">
        <v>483</v>
      </c>
      <c r="B161" s="16" t="s">
        <v>102</v>
      </c>
      <c r="C161" s="17" t="s">
        <v>480</v>
      </c>
      <c r="D161" s="17" t="s">
        <v>485</v>
      </c>
      <c r="E161" s="16" t="s">
        <v>118</v>
      </c>
      <c r="F161" s="20" t="n">
        <v>5</v>
      </c>
      <c r="G161" s="17" t="s">
        <v>477</v>
      </c>
      <c r="H161" s="19" t="s">
        <v>119</v>
      </c>
      <c r="I161" s="21"/>
    </row>
    <row r="162" customFormat="false" ht="15" hidden="false" customHeight="false" outlineLevel="0" collapsed="false">
      <c r="A162" s="20" t="s">
        <v>483</v>
      </c>
      <c r="B162" s="16" t="s">
        <v>102</v>
      </c>
      <c r="C162" s="17" t="s">
        <v>480</v>
      </c>
      <c r="D162" s="17" t="s">
        <v>486</v>
      </c>
      <c r="E162" s="16" t="s">
        <v>118</v>
      </c>
      <c r="F162" s="20" t="n">
        <v>5</v>
      </c>
      <c r="G162" s="17" t="s">
        <v>477</v>
      </c>
      <c r="H162" s="19" t="s">
        <v>119</v>
      </c>
      <c r="I162" s="21"/>
    </row>
  </sheetData>
  <autoFilter ref="A3:I162"/>
  <mergeCells count="1">
    <mergeCell ref="A1:I1"/>
  </mergeCells>
  <dataValidations count="1">
    <dataValidation allowBlank="true" errorStyle="stop" operator="between" showDropDown="false" showErrorMessage="false" showInputMessage="false" sqref="H4:H162" type="list">
      <formula1>"Backlog,To do,In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7"/>
    <col collapsed="false" customWidth="true" hidden="false" outlineLevel="0" max="5" min="5" style="0" width="15"/>
  </cols>
  <sheetData>
    <row r="1" customFormat="false" ht="21.75" hidden="false" customHeight="true" outlineLevel="0" collapsed="false">
      <c r="A1" s="1" t="s">
        <v>490</v>
      </c>
      <c r="B1" s="1"/>
      <c r="C1" s="1"/>
      <c r="D1" s="1"/>
      <c r="E1" s="1"/>
    </row>
    <row r="3" customFormat="false" ht="31.5" hidden="false" customHeight="true" outlineLevel="0" collapsed="false">
      <c r="A3" s="6" t="s">
        <v>39</v>
      </c>
      <c r="B3" s="6" t="s">
        <v>491</v>
      </c>
      <c r="C3" s="6" t="s">
        <v>492</v>
      </c>
      <c r="D3" s="6" t="s">
        <v>493</v>
      </c>
      <c r="E3" s="6" t="s">
        <v>494</v>
      </c>
    </row>
    <row r="4" customFormat="false" ht="15" hidden="false" customHeight="false" outlineLevel="0" collapsed="false">
      <c r="A4" s="24" t="s">
        <v>141</v>
      </c>
      <c r="B4" s="25" t="n">
        <v>46237</v>
      </c>
      <c r="C4" s="25" t="n">
        <v>46248</v>
      </c>
      <c r="D4" s="24" t="n">
        <f aca="false">COUNTIF('3. Tarefas'!$A$4:$A$162,$A4)</f>
        <v>3</v>
      </c>
      <c r="E4" s="24" t="n">
        <f aca="false">SUMIF('3. Tarefas'!$A$4:$A$162,$A4,'3. Tarefas'!$F$4:$F$162)</f>
        <v>6</v>
      </c>
    </row>
    <row r="5" customFormat="false" ht="15" hidden="false" customHeight="false" outlineLevel="0" collapsed="false">
      <c r="A5" s="24" t="s">
        <v>145</v>
      </c>
      <c r="B5" s="25" t="n">
        <v>46251</v>
      </c>
      <c r="C5" s="25" t="n">
        <v>46262</v>
      </c>
      <c r="D5" s="24" t="n">
        <f aca="false">COUNTIF('3. Tarefas'!$A$4:$A$162,$A5)</f>
        <v>3</v>
      </c>
      <c r="E5" s="24" t="n">
        <f aca="false">SUMIF('3. Tarefas'!$A$4:$A$162,$A5,'3. Tarefas'!$F$4:$F$162)</f>
        <v>6</v>
      </c>
    </row>
    <row r="6" customFormat="false" ht="15" hidden="false" customHeight="false" outlineLevel="0" collapsed="false">
      <c r="A6" s="24" t="s">
        <v>117</v>
      </c>
      <c r="B6" s="25" t="n">
        <v>46265</v>
      </c>
      <c r="C6" s="25" t="n">
        <v>46276</v>
      </c>
      <c r="D6" s="24" t="n">
        <f aca="false">COUNTIF('3. Tarefas'!$A$4:$A$162,$A6)</f>
        <v>25</v>
      </c>
      <c r="E6" s="24" t="n">
        <f aca="false">SUMIF('3. Tarefas'!$A$4:$A$162,$A6,'3. Tarefas'!$F$4:$F$162)</f>
        <v>45</v>
      </c>
    </row>
    <row r="7" customFormat="false" ht="15" hidden="false" customHeight="false" outlineLevel="0" collapsed="false">
      <c r="A7" s="24" t="s">
        <v>123</v>
      </c>
      <c r="B7" s="25" t="n">
        <v>46279</v>
      </c>
      <c r="C7" s="25" t="n">
        <v>46290</v>
      </c>
      <c r="D7" s="24" t="n">
        <f aca="false">COUNTIF('3. Tarefas'!$A$4:$A$162,$A7)</f>
        <v>11</v>
      </c>
      <c r="E7" s="24" t="n">
        <f aca="false">SUMIF('3. Tarefas'!$A$4:$A$162,$A7,'3. Tarefas'!$F$4:$F$162)</f>
        <v>28</v>
      </c>
    </row>
    <row r="8" customFormat="false" ht="15" hidden="false" customHeight="false" outlineLevel="0" collapsed="false">
      <c r="A8" s="24" t="s">
        <v>126</v>
      </c>
      <c r="B8" s="25" t="n">
        <v>46293</v>
      </c>
      <c r="C8" s="25" t="n">
        <v>46304</v>
      </c>
      <c r="D8" s="24" t="n">
        <f aca="false">COUNTIF('3. Tarefas'!$A$4:$A$162,$A8)</f>
        <v>20</v>
      </c>
      <c r="E8" s="24" t="n">
        <f aca="false">SUMIF('3. Tarefas'!$A$4:$A$162,$A8,'3. Tarefas'!$F$4:$F$162)</f>
        <v>62</v>
      </c>
    </row>
    <row r="9" customFormat="false" ht="15" hidden="false" customHeight="false" outlineLevel="0" collapsed="false">
      <c r="A9" s="24" t="s">
        <v>131</v>
      </c>
      <c r="B9" s="25" t="n">
        <v>46307</v>
      </c>
      <c r="C9" s="25" t="n">
        <v>46318</v>
      </c>
      <c r="D9" s="24" t="n">
        <f aca="false">COUNTIF('3. Tarefas'!$A$4:$A$162,$A9)</f>
        <v>24</v>
      </c>
      <c r="E9" s="24" t="n">
        <f aca="false">SUMIF('3. Tarefas'!$A$4:$A$162,$A9,'3. Tarefas'!$F$4:$F$162)</f>
        <v>53</v>
      </c>
    </row>
    <row r="10" customFormat="false" ht="15" hidden="false" customHeight="false" outlineLevel="0" collapsed="false">
      <c r="A10" s="24" t="s">
        <v>196</v>
      </c>
      <c r="B10" s="25" t="n">
        <v>46321</v>
      </c>
      <c r="C10" s="25" t="n">
        <v>46332</v>
      </c>
      <c r="D10" s="24" t="n">
        <f aca="false">COUNTIF('3. Tarefas'!$A$4:$A$162,$A10)</f>
        <v>8</v>
      </c>
      <c r="E10" s="24" t="n">
        <f aca="false">SUMIF('3. Tarefas'!$A$4:$A$162,$A10,'3. Tarefas'!$F$4:$F$162)</f>
        <v>17</v>
      </c>
    </row>
    <row r="11" customFormat="false" ht="15" hidden="false" customHeight="false" outlineLevel="0" collapsed="false">
      <c r="A11" s="24" t="s">
        <v>220</v>
      </c>
      <c r="B11" s="25" t="n">
        <v>46335</v>
      </c>
      <c r="C11" s="25" t="n">
        <v>46346</v>
      </c>
      <c r="D11" s="24" t="n">
        <f aca="false">COUNTIF('3. Tarefas'!$A$4:$A$162,$A11)</f>
        <v>12</v>
      </c>
      <c r="E11" s="24" t="n">
        <f aca="false">SUMIF('3. Tarefas'!$A$4:$A$162,$A11,'3. Tarefas'!$F$4:$F$162)</f>
        <v>34</v>
      </c>
    </row>
    <row r="12" customFormat="false" ht="15" hidden="false" customHeight="false" outlineLevel="0" collapsed="false">
      <c r="A12" s="24" t="s">
        <v>311</v>
      </c>
      <c r="B12" s="25" t="n">
        <v>46349</v>
      </c>
      <c r="C12" s="25" t="n">
        <v>46360</v>
      </c>
      <c r="D12" s="24" t="n">
        <f aca="false">COUNTIF('3. Tarefas'!$A$4:$A$162,$A12)</f>
        <v>9</v>
      </c>
      <c r="E12" s="24" t="n">
        <f aca="false">SUMIF('3. Tarefas'!$A$4:$A$162,$A12,'3. Tarefas'!$F$4:$F$162)</f>
        <v>27</v>
      </c>
    </row>
    <row r="13" customFormat="false" ht="15" hidden="false" customHeight="false" outlineLevel="0" collapsed="false">
      <c r="A13" s="24" t="s">
        <v>368</v>
      </c>
      <c r="B13" s="25" t="n">
        <v>46363</v>
      </c>
      <c r="C13" s="25" t="n">
        <v>46374</v>
      </c>
      <c r="D13" s="24" t="n">
        <f aca="false">COUNTIF('3. Tarefas'!$A$4:$A$162,$A13)</f>
        <v>6</v>
      </c>
      <c r="E13" s="24" t="n">
        <f aca="false">SUMIF('3. Tarefas'!$A$4:$A$162,$A13,'3. Tarefas'!$F$4:$F$162)</f>
        <v>23</v>
      </c>
    </row>
    <row r="14" customFormat="false" ht="15" hidden="false" customHeight="false" outlineLevel="0" collapsed="false">
      <c r="A14" s="24" t="s">
        <v>371</v>
      </c>
      <c r="B14" s="25" t="n">
        <v>46391</v>
      </c>
      <c r="C14" s="25" t="n">
        <v>46402</v>
      </c>
      <c r="D14" s="24" t="n">
        <f aca="false">COUNTIF('3. Tarefas'!$A$4:$A$162,$A14)</f>
        <v>3</v>
      </c>
      <c r="E14" s="24" t="n">
        <f aca="false">SUMIF('3. Tarefas'!$A$4:$A$162,$A14,'3. Tarefas'!$F$4:$F$162)</f>
        <v>12</v>
      </c>
    </row>
    <row r="15" customFormat="false" ht="15" hidden="false" customHeight="false" outlineLevel="0" collapsed="false">
      <c r="A15" s="24" t="s">
        <v>266</v>
      </c>
      <c r="B15" s="25" t="n">
        <v>46405</v>
      </c>
      <c r="C15" s="25" t="n">
        <v>46416</v>
      </c>
      <c r="D15" s="24" t="n">
        <f aca="false">COUNTIF('3. Tarefas'!$A$4:$A$162,$A15)</f>
        <v>3</v>
      </c>
      <c r="E15" s="24" t="n">
        <f aca="false">SUMIF('3. Tarefas'!$A$4:$A$162,$A15,'3. Tarefas'!$F$4:$F$162)</f>
        <v>13</v>
      </c>
    </row>
    <row r="16" customFormat="false" ht="15" hidden="false" customHeight="false" outlineLevel="0" collapsed="false">
      <c r="A16" s="24" t="s">
        <v>271</v>
      </c>
      <c r="B16" s="25" t="n">
        <v>46419</v>
      </c>
      <c r="C16" s="25" t="n">
        <v>46430</v>
      </c>
      <c r="D16" s="24" t="n">
        <f aca="false">COUNTIF('3. Tarefas'!$A$4:$A$162,$A16)</f>
        <v>4</v>
      </c>
      <c r="E16" s="24" t="n">
        <f aca="false">SUMIF('3. Tarefas'!$A$4:$A$162,$A16,'3. Tarefas'!$F$4:$F$162)</f>
        <v>20</v>
      </c>
    </row>
    <row r="17" customFormat="false" ht="15" hidden="false" customHeight="false" outlineLevel="0" collapsed="false">
      <c r="A17" s="24" t="s">
        <v>277</v>
      </c>
      <c r="B17" s="25" t="n">
        <v>46433</v>
      </c>
      <c r="C17" s="25" t="n">
        <v>46444</v>
      </c>
      <c r="D17" s="24" t="n">
        <f aca="false">COUNTIF('3. Tarefas'!$A$4:$A$162,$A17)</f>
        <v>6</v>
      </c>
      <c r="E17" s="24" t="n">
        <f aca="false">SUMIF('3. Tarefas'!$A$4:$A$162,$A17,'3. Tarefas'!$F$4:$F$162)</f>
        <v>14</v>
      </c>
    </row>
    <row r="18" customFormat="false" ht="15" hidden="false" customHeight="false" outlineLevel="0" collapsed="false">
      <c r="A18" s="24" t="s">
        <v>384</v>
      </c>
      <c r="B18" s="25" t="n">
        <v>46447</v>
      </c>
      <c r="C18" s="25" t="n">
        <v>46458</v>
      </c>
      <c r="D18" s="24" t="n">
        <f aca="false">COUNTIF('3. Tarefas'!$A$4:$A$162,$A18)</f>
        <v>1</v>
      </c>
      <c r="E18" s="24" t="n">
        <f aca="false">SUMIF('3. Tarefas'!$A$4:$A$162,$A18,'3. Tarefas'!$F$4:$F$162)</f>
        <v>6</v>
      </c>
    </row>
    <row r="19" customFormat="false" ht="15" hidden="false" customHeight="false" outlineLevel="0" collapsed="false">
      <c r="A19" s="24" t="s">
        <v>389</v>
      </c>
      <c r="B19" s="25" t="n">
        <v>46461</v>
      </c>
      <c r="C19" s="25" t="n">
        <v>46472</v>
      </c>
      <c r="D19" s="24" t="n">
        <f aca="false">COUNTIF('3. Tarefas'!$A$4:$A$162,$A19)</f>
        <v>2</v>
      </c>
      <c r="E19" s="24" t="n">
        <f aca="false">SUMIF('3. Tarefas'!$A$4:$A$162,$A19,'3. Tarefas'!$F$4:$F$162)</f>
        <v>4</v>
      </c>
    </row>
    <row r="20" customFormat="false" ht="15" hidden="false" customHeight="false" outlineLevel="0" collapsed="false">
      <c r="A20" s="24" t="s">
        <v>452</v>
      </c>
      <c r="B20" s="25" t="n">
        <v>46475</v>
      </c>
      <c r="C20" s="25" t="n">
        <v>46486</v>
      </c>
      <c r="D20" s="24" t="n">
        <f aca="false">COUNTIF('3. Tarefas'!$A$4:$A$162,$A20)</f>
        <v>2</v>
      </c>
      <c r="E20" s="24" t="n">
        <f aca="false">SUMIF('3. Tarefas'!$A$4:$A$162,$A20,'3. Tarefas'!$F$4:$F$162)</f>
        <v>13</v>
      </c>
    </row>
    <row r="21" customFormat="false" ht="15" hidden="false" customHeight="false" outlineLevel="0" collapsed="false">
      <c r="A21" s="24" t="s">
        <v>455</v>
      </c>
      <c r="B21" s="25" t="n">
        <v>46489</v>
      </c>
      <c r="C21" s="25" t="n">
        <v>46500</v>
      </c>
      <c r="D21" s="24" t="n">
        <f aca="false">COUNTIF('3. Tarefas'!$A$4:$A$162,$A21)</f>
        <v>3</v>
      </c>
      <c r="E21" s="24" t="n">
        <f aca="false">SUMIF('3. Tarefas'!$A$4:$A$162,$A21,'3. Tarefas'!$F$4:$F$162)</f>
        <v>10</v>
      </c>
    </row>
    <row r="22" customFormat="false" ht="15" hidden="false" customHeight="false" outlineLevel="0" collapsed="false">
      <c r="A22" s="24" t="s">
        <v>464</v>
      </c>
      <c r="B22" s="25" t="n">
        <v>46503</v>
      </c>
      <c r="C22" s="25" t="n">
        <v>46514</v>
      </c>
      <c r="D22" s="24" t="n">
        <f aca="false">COUNTIF('3. Tarefas'!$A$4:$A$162,$A22)</f>
        <v>3</v>
      </c>
      <c r="E22" s="24" t="n">
        <f aca="false">SUMIF('3. Tarefas'!$A$4:$A$162,$A22,'3. Tarefas'!$F$4:$F$162)</f>
        <v>9</v>
      </c>
    </row>
    <row r="23" customFormat="false" ht="15" hidden="false" customHeight="false" outlineLevel="0" collapsed="false">
      <c r="A23" s="24" t="s">
        <v>386</v>
      </c>
      <c r="B23" s="25" t="n">
        <v>46517</v>
      </c>
      <c r="C23" s="25" t="n">
        <v>46528</v>
      </c>
      <c r="D23" s="24" t="n">
        <f aca="false">COUNTIF('3. Tarefas'!$A$4:$A$162,$A23)</f>
        <v>2</v>
      </c>
      <c r="E23" s="24" t="n">
        <f aca="false">SUMIF('3. Tarefas'!$A$4:$A$162,$A23,'3. Tarefas'!$F$4:$F$162)</f>
        <v>8</v>
      </c>
    </row>
    <row r="24" customFormat="false" ht="15" hidden="false" customHeight="false" outlineLevel="0" collapsed="false">
      <c r="A24" s="24" t="s">
        <v>475</v>
      </c>
      <c r="B24" s="25" t="n">
        <v>46531</v>
      </c>
      <c r="C24" s="25" t="n">
        <v>46542</v>
      </c>
      <c r="D24" s="24" t="n">
        <f aca="false">COUNTIF('3. Tarefas'!$A$4:$A$162,$A24)</f>
        <v>1</v>
      </c>
      <c r="E24" s="24" t="n">
        <f aca="false">SUMIF('3. Tarefas'!$A$4:$A$162,$A24,'3. Tarefas'!$F$4:$F$162)</f>
        <v>5</v>
      </c>
    </row>
    <row r="25" customFormat="false" ht="15" hidden="false" customHeight="false" outlineLevel="0" collapsed="false">
      <c r="A25" s="24" t="s">
        <v>495</v>
      </c>
      <c r="B25" s="25" t="n">
        <v>46545</v>
      </c>
      <c r="C25" s="25" t="n">
        <v>46556</v>
      </c>
      <c r="D25" s="24" t="n">
        <f aca="false">COUNTIF('3. Tarefas'!$A$4:$A$162,$A25)</f>
        <v>0</v>
      </c>
      <c r="E25" s="24" t="n">
        <f aca="false">SUMIF('3. Tarefas'!$A$4:$A$162,$A25,'3. Tarefas'!$F$4:$F$162)</f>
        <v>0</v>
      </c>
    </row>
    <row r="26" customFormat="false" ht="15" hidden="false" customHeight="false" outlineLevel="0" collapsed="false">
      <c r="A26" s="24" t="s">
        <v>496</v>
      </c>
      <c r="B26" s="25" t="n">
        <v>46559</v>
      </c>
      <c r="C26" s="25" t="n">
        <v>46570</v>
      </c>
      <c r="D26" s="24" t="n">
        <f aca="false">COUNTIF('3. Tarefas'!$A$4:$A$162,$A26)</f>
        <v>0</v>
      </c>
      <c r="E26" s="24" t="n">
        <f aca="false">SUMIF('3. Tarefas'!$A$4:$A$162,$A26,'3. Tarefas'!$F$4:$F$162)</f>
        <v>0</v>
      </c>
    </row>
    <row r="27" customFormat="false" ht="15" hidden="false" customHeight="false" outlineLevel="0" collapsed="false">
      <c r="A27" s="24" t="s">
        <v>261</v>
      </c>
      <c r="B27" s="26"/>
      <c r="C27" s="26"/>
      <c r="D27" s="24" t="n">
        <f aca="false">COUNTIF('3. Tarefas'!$A$4:$A$162,"Recorrente")</f>
        <v>4</v>
      </c>
      <c r="E27" s="24" t="n">
        <f aca="false">SUMIF('3. Tarefas'!$A$4:$A$162,"Recorrente",'3. Tarefas'!$F$4:$F$162)</f>
        <v>6</v>
      </c>
    </row>
    <row r="28" customFormat="false" ht="15" hidden="false" customHeight="false" outlineLevel="0" collapsed="false">
      <c r="A28" s="24" t="s">
        <v>483</v>
      </c>
      <c r="B28" s="26"/>
      <c r="C28" s="26"/>
      <c r="D28" s="24" t="n">
        <f aca="false">COUNTIF('3. Tarefas'!$A$4:$A$162,"TBC")</f>
        <v>4</v>
      </c>
      <c r="E28" s="24" t="n">
        <f aca="false">SUMIF('3. Tarefas'!$A$4:$A$162,"TBC",'3. Tarefas'!$F$4:$F$162)</f>
        <v>16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5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21.7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1.5" hidden="false" customHeight="true" outlineLevel="0" collapsed="false">
      <c r="A3" s="27" t="s">
        <v>2</v>
      </c>
      <c r="B3" s="27" t="s">
        <v>4</v>
      </c>
      <c r="C3" s="27" t="s">
        <v>13</v>
      </c>
      <c r="D3" s="27" t="s">
        <v>61</v>
      </c>
      <c r="E3" s="27" t="s">
        <v>62</v>
      </c>
      <c r="F3" s="27" t="s">
        <v>6</v>
      </c>
      <c r="G3" s="27" t="s">
        <v>106</v>
      </c>
      <c r="H3" s="27" t="s">
        <v>107</v>
      </c>
      <c r="I3" s="27" t="s">
        <v>108</v>
      </c>
      <c r="J3" s="27" t="s">
        <v>8</v>
      </c>
      <c r="K3" s="27" t="s">
        <v>39</v>
      </c>
      <c r="L3" s="27" t="s">
        <v>109</v>
      </c>
      <c r="M3" s="27" t="s">
        <v>110</v>
      </c>
      <c r="N3" s="27" t="s">
        <v>43</v>
      </c>
      <c r="O3" s="27" t="s">
        <v>111</v>
      </c>
      <c r="P3" s="27" t="s">
        <v>45</v>
      </c>
    </row>
    <row r="4" customFormat="false" ht="32.8" hidden="false" customHeight="false" outlineLevel="0" collapsed="false">
      <c r="A4" s="16" t="s">
        <v>112</v>
      </c>
      <c r="B4" s="16" t="s">
        <v>68</v>
      </c>
      <c r="C4" s="17" t="s">
        <v>69</v>
      </c>
      <c r="D4" s="18" t="n">
        <v>46318</v>
      </c>
      <c r="E4" s="19" t="s">
        <v>70</v>
      </c>
      <c r="F4" s="16" t="s">
        <v>113</v>
      </c>
      <c r="G4" s="17" t="s">
        <v>114</v>
      </c>
      <c r="H4" s="18" t="n">
        <v>46304</v>
      </c>
      <c r="I4" s="19" t="s">
        <v>115</v>
      </c>
      <c r="J4" s="17" t="s">
        <v>116</v>
      </c>
      <c r="K4" s="20" t="s">
        <v>117</v>
      </c>
      <c r="L4" s="16" t="s">
        <v>118</v>
      </c>
      <c r="M4" s="20" t="n">
        <v>2</v>
      </c>
      <c r="N4" s="17"/>
      <c r="O4" s="19" t="s">
        <v>119</v>
      </c>
      <c r="P4" s="21"/>
    </row>
    <row r="5" customFormat="false" ht="32.8" hidden="false" customHeight="false" outlineLevel="0" collapsed="false">
      <c r="A5" s="16" t="s">
        <v>112</v>
      </c>
      <c r="B5" s="16" t="s">
        <v>68</v>
      </c>
      <c r="C5" s="17" t="s">
        <v>69</v>
      </c>
      <c r="D5" s="18" t="n">
        <v>46318</v>
      </c>
      <c r="E5" s="19" t="s">
        <v>70</v>
      </c>
      <c r="F5" s="16" t="s">
        <v>113</v>
      </c>
      <c r="G5" s="17" t="s">
        <v>114</v>
      </c>
      <c r="H5" s="18" t="n">
        <v>46304</v>
      </c>
      <c r="I5" s="19" t="s">
        <v>115</v>
      </c>
      <c r="J5" s="17" t="s">
        <v>120</v>
      </c>
      <c r="K5" s="20" t="s">
        <v>117</v>
      </c>
      <c r="L5" s="16" t="s">
        <v>118</v>
      </c>
      <c r="M5" s="20" t="n">
        <v>1</v>
      </c>
      <c r="N5" s="17" t="s">
        <v>121</v>
      </c>
      <c r="O5" s="19" t="s">
        <v>119</v>
      </c>
      <c r="P5" s="21"/>
    </row>
    <row r="6" customFormat="false" ht="32.8" hidden="false" customHeight="false" outlineLevel="0" collapsed="false">
      <c r="A6" s="16" t="s">
        <v>112</v>
      </c>
      <c r="B6" s="16" t="s">
        <v>68</v>
      </c>
      <c r="C6" s="17" t="s">
        <v>69</v>
      </c>
      <c r="D6" s="18" t="n">
        <v>46318</v>
      </c>
      <c r="E6" s="19" t="s">
        <v>70</v>
      </c>
      <c r="F6" s="16" t="s">
        <v>113</v>
      </c>
      <c r="G6" s="17" t="s">
        <v>114</v>
      </c>
      <c r="H6" s="18" t="n">
        <v>46304</v>
      </c>
      <c r="I6" s="19" t="s">
        <v>115</v>
      </c>
      <c r="J6" s="17" t="s">
        <v>122</v>
      </c>
      <c r="K6" s="20" t="s">
        <v>123</v>
      </c>
      <c r="L6" s="16" t="s">
        <v>118</v>
      </c>
      <c r="M6" s="20" t="n">
        <v>3</v>
      </c>
      <c r="N6" s="17" t="s">
        <v>124</v>
      </c>
      <c r="O6" s="19" t="s">
        <v>119</v>
      </c>
      <c r="P6" s="21"/>
    </row>
    <row r="7" customFormat="false" ht="32.8" hidden="false" customHeight="false" outlineLevel="0" collapsed="false">
      <c r="A7" s="16" t="s">
        <v>112</v>
      </c>
      <c r="B7" s="16" t="s">
        <v>68</v>
      </c>
      <c r="C7" s="17" t="s">
        <v>69</v>
      </c>
      <c r="D7" s="18" t="n">
        <v>46318</v>
      </c>
      <c r="E7" s="19" t="s">
        <v>70</v>
      </c>
      <c r="F7" s="16" t="s">
        <v>113</v>
      </c>
      <c r="G7" s="17" t="s">
        <v>114</v>
      </c>
      <c r="H7" s="18" t="n">
        <v>46304</v>
      </c>
      <c r="I7" s="19" t="s">
        <v>115</v>
      </c>
      <c r="J7" s="17" t="s">
        <v>125</v>
      </c>
      <c r="K7" s="20" t="s">
        <v>126</v>
      </c>
      <c r="L7" s="16" t="s">
        <v>118</v>
      </c>
      <c r="M7" s="20" t="n">
        <v>1</v>
      </c>
      <c r="N7" s="17" t="s">
        <v>127</v>
      </c>
      <c r="O7" s="19" t="s">
        <v>119</v>
      </c>
      <c r="P7" s="21"/>
    </row>
    <row r="8" customFormat="false" ht="32.8" hidden="false" customHeight="false" outlineLevel="0" collapsed="false">
      <c r="A8" s="16" t="s">
        <v>112</v>
      </c>
      <c r="B8" s="16" t="s">
        <v>68</v>
      </c>
      <c r="C8" s="17" t="s">
        <v>69</v>
      </c>
      <c r="D8" s="18" t="n">
        <v>46318</v>
      </c>
      <c r="E8" s="19" t="s">
        <v>70</v>
      </c>
      <c r="F8" s="16"/>
      <c r="G8" s="17"/>
      <c r="H8" s="18"/>
      <c r="I8" s="19"/>
      <c r="J8" s="17" t="s">
        <v>128</v>
      </c>
      <c r="K8" s="20" t="s">
        <v>126</v>
      </c>
      <c r="L8" s="16" t="s">
        <v>118</v>
      </c>
      <c r="M8" s="20" t="n">
        <v>2</v>
      </c>
      <c r="N8" s="17" t="s">
        <v>129</v>
      </c>
      <c r="O8" s="19" t="s">
        <v>119</v>
      </c>
      <c r="P8" s="21"/>
    </row>
    <row r="9" customFormat="false" ht="32.8" hidden="false" customHeight="false" outlineLevel="0" collapsed="false">
      <c r="A9" s="16" t="s">
        <v>112</v>
      </c>
      <c r="B9" s="16" t="s">
        <v>68</v>
      </c>
      <c r="C9" s="17" t="s">
        <v>69</v>
      </c>
      <c r="D9" s="18" t="n">
        <v>46318</v>
      </c>
      <c r="E9" s="19" t="s">
        <v>70</v>
      </c>
      <c r="F9" s="16"/>
      <c r="G9" s="17"/>
      <c r="H9" s="18"/>
      <c r="I9" s="19"/>
      <c r="J9" s="17" t="s">
        <v>130</v>
      </c>
      <c r="K9" s="20" t="s">
        <v>131</v>
      </c>
      <c r="L9" s="16" t="s">
        <v>118</v>
      </c>
      <c r="M9" s="20" t="n">
        <v>1</v>
      </c>
      <c r="N9" s="17" t="s">
        <v>132</v>
      </c>
      <c r="O9" s="19" t="s">
        <v>119</v>
      </c>
      <c r="P9" s="21"/>
    </row>
    <row r="10" customFormat="false" ht="32.8" hidden="false" customHeight="false" outlineLevel="0" collapsed="false">
      <c r="A10" s="16" t="s">
        <v>112</v>
      </c>
      <c r="B10" s="16" t="s">
        <v>68</v>
      </c>
      <c r="C10" s="17" t="s">
        <v>69</v>
      </c>
      <c r="D10" s="18" t="n">
        <v>46318</v>
      </c>
      <c r="E10" s="19" t="s">
        <v>70</v>
      </c>
      <c r="F10" s="16"/>
      <c r="G10" s="17"/>
      <c r="H10" s="18"/>
      <c r="I10" s="19"/>
      <c r="J10" s="17" t="s">
        <v>133</v>
      </c>
      <c r="K10" s="20" t="s">
        <v>131</v>
      </c>
      <c r="L10" s="16" t="s">
        <v>118</v>
      </c>
      <c r="M10" s="20" t="n">
        <v>1</v>
      </c>
      <c r="N10" s="17" t="s">
        <v>134</v>
      </c>
      <c r="O10" s="19" t="s">
        <v>119</v>
      </c>
      <c r="P10" s="21"/>
    </row>
    <row r="11" customFormat="false" ht="32.8" hidden="false" customHeight="false" outlineLevel="0" collapsed="false">
      <c r="A11" s="16" t="s">
        <v>112</v>
      </c>
      <c r="B11" s="16" t="s">
        <v>68</v>
      </c>
      <c r="C11" s="17" t="s">
        <v>69</v>
      </c>
      <c r="D11" s="18" t="n">
        <v>46318</v>
      </c>
      <c r="E11" s="19" t="s">
        <v>70</v>
      </c>
      <c r="F11" s="16"/>
      <c r="G11" s="17"/>
      <c r="H11" s="18"/>
      <c r="I11" s="19"/>
      <c r="J11" s="17" t="s">
        <v>135</v>
      </c>
      <c r="K11" s="20" t="s">
        <v>131</v>
      </c>
      <c r="L11" s="16" t="s">
        <v>118</v>
      </c>
      <c r="M11" s="20" t="n">
        <v>1</v>
      </c>
      <c r="N11" s="17" t="s">
        <v>136</v>
      </c>
      <c r="O11" s="19" t="s">
        <v>119</v>
      </c>
      <c r="P11" s="21"/>
    </row>
  </sheetData>
  <autoFilter ref="A3:P11"/>
  <mergeCells count="1">
    <mergeCell ref="A1:L1"/>
  </mergeCells>
  <dataValidations count="3">
    <dataValidation allowBlank="true" errorStyle="stop" operator="between" showDropDown="false" showErrorMessage="false" showInputMessage="false" sqref="O4:O11" type="list">
      <formula1>"Backlog,To do,In progress,Blocked,Done"</formula1>
      <formula2>0</formula2>
    </dataValidation>
    <dataValidation allowBlank="true" errorStyle="stop" operator="between" showDropDown="false" showErrorMessage="false" showInputMessage="false" sqref="I4:I11" type="list">
      <formula1>"Não iniciado,Em curso,Feito"</formula1>
      <formula2>0</formula2>
    </dataValidation>
    <dataValidation allowBlank="true" errorStyle="stop" operator="between" showDropDown="false" showErrorMessage="false" showInputMessage="false" sqref="E4:E11" type="list">
      <formula1>"Não iniciada,Em curso,Feita"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5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21.7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1.5" hidden="false" customHeight="true" outlineLevel="0" collapsed="false">
      <c r="A3" s="27" t="s">
        <v>2</v>
      </c>
      <c r="B3" s="27" t="s">
        <v>4</v>
      </c>
      <c r="C3" s="27" t="s">
        <v>13</v>
      </c>
      <c r="D3" s="27" t="s">
        <v>61</v>
      </c>
      <c r="E3" s="27" t="s">
        <v>62</v>
      </c>
      <c r="F3" s="27" t="s">
        <v>6</v>
      </c>
      <c r="G3" s="27" t="s">
        <v>106</v>
      </c>
      <c r="H3" s="27" t="s">
        <v>107</v>
      </c>
      <c r="I3" s="27" t="s">
        <v>108</v>
      </c>
      <c r="J3" s="27" t="s">
        <v>8</v>
      </c>
      <c r="K3" s="27" t="s">
        <v>39</v>
      </c>
      <c r="L3" s="27" t="s">
        <v>109</v>
      </c>
      <c r="M3" s="27" t="s">
        <v>110</v>
      </c>
      <c r="N3" s="27" t="s">
        <v>43</v>
      </c>
      <c r="O3" s="27" t="s">
        <v>111</v>
      </c>
      <c r="P3" s="27" t="s">
        <v>45</v>
      </c>
    </row>
    <row r="4" customFormat="false" ht="43.25" hidden="false" customHeight="false" outlineLevel="0" collapsed="false">
      <c r="A4" s="22" t="s">
        <v>112</v>
      </c>
      <c r="B4" s="22" t="s">
        <v>72</v>
      </c>
      <c r="C4" s="17" t="s">
        <v>73</v>
      </c>
      <c r="D4" s="18" t="n">
        <v>46332</v>
      </c>
      <c r="E4" s="19" t="s">
        <v>70</v>
      </c>
      <c r="F4" s="22" t="s">
        <v>137</v>
      </c>
      <c r="G4" s="17" t="s">
        <v>138</v>
      </c>
      <c r="H4" s="18" t="n">
        <v>46262</v>
      </c>
      <c r="I4" s="19" t="s">
        <v>139</v>
      </c>
      <c r="J4" s="23" t="s">
        <v>140</v>
      </c>
      <c r="K4" s="20" t="s">
        <v>141</v>
      </c>
      <c r="L4" s="16" t="s">
        <v>118</v>
      </c>
      <c r="M4" s="20" t="n">
        <v>2</v>
      </c>
      <c r="N4" s="17"/>
      <c r="O4" s="19" t="s">
        <v>142</v>
      </c>
      <c r="P4" s="21"/>
    </row>
    <row r="5" customFormat="false" ht="43.25" hidden="false" customHeight="false" outlineLevel="0" collapsed="false">
      <c r="A5" s="22" t="s">
        <v>112</v>
      </c>
      <c r="B5" s="22" t="s">
        <v>72</v>
      </c>
      <c r="C5" s="17" t="s">
        <v>73</v>
      </c>
      <c r="D5" s="18" t="n">
        <v>46332</v>
      </c>
      <c r="E5" s="19" t="s">
        <v>70</v>
      </c>
      <c r="F5" s="22" t="s">
        <v>137</v>
      </c>
      <c r="G5" s="17" t="s">
        <v>138</v>
      </c>
      <c r="H5" s="18" t="n">
        <v>46262</v>
      </c>
      <c r="I5" s="19" t="s">
        <v>139</v>
      </c>
      <c r="J5" s="23" t="s">
        <v>143</v>
      </c>
      <c r="K5" s="20" t="s">
        <v>141</v>
      </c>
      <c r="L5" s="16" t="s">
        <v>118</v>
      </c>
      <c r="M5" s="20" t="n">
        <v>2</v>
      </c>
      <c r="N5" s="17"/>
      <c r="O5" s="19" t="s">
        <v>142</v>
      </c>
      <c r="P5" s="21"/>
    </row>
    <row r="6" customFormat="false" ht="43.25" hidden="false" customHeight="false" outlineLevel="0" collapsed="false">
      <c r="A6" s="22" t="s">
        <v>112</v>
      </c>
      <c r="B6" s="22" t="s">
        <v>72</v>
      </c>
      <c r="C6" s="17" t="s">
        <v>73</v>
      </c>
      <c r="D6" s="18" t="n">
        <v>46332</v>
      </c>
      <c r="E6" s="19" t="s">
        <v>70</v>
      </c>
      <c r="F6" s="22" t="s">
        <v>137</v>
      </c>
      <c r="G6" s="17" t="s">
        <v>138</v>
      </c>
      <c r="H6" s="18" t="n">
        <v>46262</v>
      </c>
      <c r="I6" s="19" t="s">
        <v>139</v>
      </c>
      <c r="J6" s="23" t="s">
        <v>144</v>
      </c>
      <c r="K6" s="20" t="s">
        <v>145</v>
      </c>
      <c r="L6" s="16" t="s">
        <v>118</v>
      </c>
      <c r="M6" s="20" t="n">
        <v>2</v>
      </c>
      <c r="N6" s="17"/>
      <c r="O6" s="19" t="s">
        <v>142</v>
      </c>
      <c r="P6" s="21"/>
    </row>
    <row r="7" customFormat="false" ht="43.25" hidden="false" customHeight="false" outlineLevel="0" collapsed="false">
      <c r="A7" s="22" t="s">
        <v>112</v>
      </c>
      <c r="B7" s="22" t="s">
        <v>72</v>
      </c>
      <c r="C7" s="17" t="s">
        <v>73</v>
      </c>
      <c r="D7" s="18" t="n">
        <v>46332</v>
      </c>
      <c r="E7" s="19" t="s">
        <v>70</v>
      </c>
      <c r="F7" s="22" t="s">
        <v>137</v>
      </c>
      <c r="G7" s="17" t="s">
        <v>138</v>
      </c>
      <c r="H7" s="18" t="n">
        <v>46262</v>
      </c>
      <c r="I7" s="19" t="s">
        <v>139</v>
      </c>
      <c r="J7" s="23" t="s">
        <v>146</v>
      </c>
      <c r="K7" s="20" t="s">
        <v>145</v>
      </c>
      <c r="L7" s="16" t="s">
        <v>118</v>
      </c>
      <c r="M7" s="20" t="n">
        <v>2</v>
      </c>
      <c r="N7" s="17"/>
      <c r="O7" s="19" t="s">
        <v>142</v>
      </c>
      <c r="P7" s="21"/>
    </row>
    <row r="8" customFormat="false" ht="43.25" hidden="false" customHeight="false" outlineLevel="0" collapsed="false">
      <c r="A8" s="16" t="s">
        <v>112</v>
      </c>
      <c r="B8" s="16" t="s">
        <v>72</v>
      </c>
      <c r="C8" s="17" t="s">
        <v>73</v>
      </c>
      <c r="D8" s="18" t="n">
        <v>46332</v>
      </c>
      <c r="E8" s="19" t="s">
        <v>70</v>
      </c>
      <c r="F8" s="16" t="s">
        <v>147</v>
      </c>
      <c r="G8" s="17" t="s">
        <v>148</v>
      </c>
      <c r="H8" s="18" t="n">
        <v>46276</v>
      </c>
      <c r="I8" s="19" t="s">
        <v>115</v>
      </c>
      <c r="J8" s="17" t="s">
        <v>149</v>
      </c>
      <c r="K8" s="20" t="s">
        <v>117</v>
      </c>
      <c r="L8" s="16" t="s">
        <v>118</v>
      </c>
      <c r="M8" s="20" t="n">
        <v>2</v>
      </c>
      <c r="N8" s="17" t="s">
        <v>150</v>
      </c>
      <c r="O8" s="19" t="s">
        <v>119</v>
      </c>
      <c r="P8" s="21"/>
    </row>
    <row r="9" customFormat="false" ht="43.25" hidden="false" customHeight="false" outlineLevel="0" collapsed="false">
      <c r="A9" s="16" t="s">
        <v>112</v>
      </c>
      <c r="B9" s="16" t="s">
        <v>72</v>
      </c>
      <c r="C9" s="17" t="s">
        <v>73</v>
      </c>
      <c r="D9" s="18" t="n">
        <v>46332</v>
      </c>
      <c r="E9" s="19" t="s">
        <v>70</v>
      </c>
      <c r="F9" s="16" t="s">
        <v>147</v>
      </c>
      <c r="G9" s="17" t="s">
        <v>148</v>
      </c>
      <c r="H9" s="18" t="n">
        <v>46276</v>
      </c>
      <c r="I9" s="19" t="s">
        <v>115</v>
      </c>
      <c r="J9" s="17" t="s">
        <v>151</v>
      </c>
      <c r="K9" s="20" t="s">
        <v>117</v>
      </c>
      <c r="L9" s="16" t="s">
        <v>118</v>
      </c>
      <c r="M9" s="20" t="n">
        <v>3</v>
      </c>
      <c r="N9" s="17" t="s">
        <v>147</v>
      </c>
      <c r="O9" s="19" t="s">
        <v>119</v>
      </c>
      <c r="P9" s="21"/>
    </row>
    <row r="10" customFormat="false" ht="43.25" hidden="false" customHeight="false" outlineLevel="0" collapsed="false">
      <c r="A10" s="16" t="s">
        <v>112</v>
      </c>
      <c r="B10" s="16" t="s">
        <v>72</v>
      </c>
      <c r="C10" s="17" t="s">
        <v>73</v>
      </c>
      <c r="D10" s="18" t="n">
        <v>46332</v>
      </c>
      <c r="E10" s="19" t="s">
        <v>70</v>
      </c>
      <c r="F10" s="16" t="s">
        <v>147</v>
      </c>
      <c r="G10" s="17" t="s">
        <v>148</v>
      </c>
      <c r="H10" s="18" t="n">
        <v>46276</v>
      </c>
      <c r="I10" s="19" t="s">
        <v>115</v>
      </c>
      <c r="J10" s="17" t="s">
        <v>152</v>
      </c>
      <c r="K10" s="20" t="s">
        <v>117</v>
      </c>
      <c r="L10" s="16" t="s">
        <v>118</v>
      </c>
      <c r="M10" s="20" t="n">
        <v>2</v>
      </c>
      <c r="N10" s="17" t="s">
        <v>147</v>
      </c>
      <c r="O10" s="19" t="s">
        <v>119</v>
      </c>
      <c r="P10" s="21"/>
    </row>
    <row r="11" customFormat="false" ht="43.25" hidden="false" customHeight="false" outlineLevel="0" collapsed="false">
      <c r="A11" s="16" t="s">
        <v>112</v>
      </c>
      <c r="B11" s="16" t="s">
        <v>72</v>
      </c>
      <c r="C11" s="17" t="s">
        <v>73</v>
      </c>
      <c r="D11" s="18" t="n">
        <v>46332</v>
      </c>
      <c r="E11" s="19" t="s">
        <v>70</v>
      </c>
      <c r="F11" s="16" t="s">
        <v>147</v>
      </c>
      <c r="G11" s="17" t="s">
        <v>148</v>
      </c>
      <c r="H11" s="18" t="n">
        <v>46276</v>
      </c>
      <c r="I11" s="19" t="s">
        <v>115</v>
      </c>
      <c r="J11" s="17" t="s">
        <v>153</v>
      </c>
      <c r="K11" s="20" t="s">
        <v>117</v>
      </c>
      <c r="L11" s="16" t="s">
        <v>118</v>
      </c>
      <c r="M11" s="20" t="n">
        <v>1</v>
      </c>
      <c r="N11" s="17"/>
      <c r="O11" s="19" t="s">
        <v>119</v>
      </c>
      <c r="P11" s="21"/>
    </row>
    <row r="12" customFormat="false" ht="32.8" hidden="false" customHeight="false" outlineLevel="0" collapsed="false">
      <c r="A12" s="16" t="s">
        <v>112</v>
      </c>
      <c r="B12" s="16" t="s">
        <v>72</v>
      </c>
      <c r="C12" s="17" t="s">
        <v>73</v>
      </c>
      <c r="D12" s="18" t="n">
        <v>46332</v>
      </c>
      <c r="E12" s="19" t="s">
        <v>70</v>
      </c>
      <c r="F12" s="16" t="s">
        <v>154</v>
      </c>
      <c r="G12" s="17" t="s">
        <v>155</v>
      </c>
      <c r="H12" s="18" t="n">
        <v>46276</v>
      </c>
      <c r="I12" s="19" t="s">
        <v>115</v>
      </c>
      <c r="J12" s="17" t="s">
        <v>156</v>
      </c>
      <c r="K12" s="20" t="s">
        <v>117</v>
      </c>
      <c r="L12" s="16" t="s">
        <v>118</v>
      </c>
      <c r="M12" s="20" t="n">
        <v>3</v>
      </c>
      <c r="N12" s="17"/>
      <c r="O12" s="19" t="s">
        <v>119</v>
      </c>
      <c r="P12" s="21"/>
    </row>
    <row r="13" customFormat="false" ht="32.8" hidden="false" customHeight="false" outlineLevel="0" collapsed="false">
      <c r="A13" s="16" t="s">
        <v>112</v>
      </c>
      <c r="B13" s="16" t="s">
        <v>72</v>
      </c>
      <c r="C13" s="17" t="s">
        <v>73</v>
      </c>
      <c r="D13" s="18" t="n">
        <v>46332</v>
      </c>
      <c r="E13" s="19" t="s">
        <v>70</v>
      </c>
      <c r="F13" s="16" t="s">
        <v>154</v>
      </c>
      <c r="G13" s="17" t="s">
        <v>155</v>
      </c>
      <c r="H13" s="18" t="n">
        <v>46276</v>
      </c>
      <c r="I13" s="19" t="s">
        <v>115</v>
      </c>
      <c r="J13" s="17" t="s">
        <v>157</v>
      </c>
      <c r="K13" s="20" t="s">
        <v>117</v>
      </c>
      <c r="L13" s="16" t="s">
        <v>118</v>
      </c>
      <c r="M13" s="20" t="n">
        <v>2</v>
      </c>
      <c r="N13" s="17" t="s">
        <v>158</v>
      </c>
      <c r="O13" s="19" t="s">
        <v>119</v>
      </c>
      <c r="P13" s="21"/>
    </row>
    <row r="14" customFormat="false" ht="32.8" hidden="false" customHeight="false" outlineLevel="0" collapsed="false">
      <c r="A14" s="16" t="s">
        <v>112</v>
      </c>
      <c r="B14" s="16" t="s">
        <v>72</v>
      </c>
      <c r="C14" s="17" t="s">
        <v>73</v>
      </c>
      <c r="D14" s="18" t="n">
        <v>46332</v>
      </c>
      <c r="E14" s="19" t="s">
        <v>70</v>
      </c>
      <c r="F14" s="16" t="s">
        <v>154</v>
      </c>
      <c r="G14" s="17" t="s">
        <v>155</v>
      </c>
      <c r="H14" s="18" t="n">
        <v>46276</v>
      </c>
      <c r="I14" s="19" t="s">
        <v>115</v>
      </c>
      <c r="J14" s="17" t="s">
        <v>159</v>
      </c>
      <c r="K14" s="20" t="s">
        <v>117</v>
      </c>
      <c r="L14" s="16" t="s">
        <v>118</v>
      </c>
      <c r="M14" s="20" t="n">
        <v>1</v>
      </c>
      <c r="N14" s="17" t="s">
        <v>160</v>
      </c>
      <c r="O14" s="19" t="s">
        <v>119</v>
      </c>
      <c r="P14" s="21"/>
    </row>
    <row r="15" customFormat="false" ht="32.8" hidden="false" customHeight="false" outlineLevel="0" collapsed="false">
      <c r="A15" s="16" t="s">
        <v>112</v>
      </c>
      <c r="B15" s="16" t="s">
        <v>72</v>
      </c>
      <c r="C15" s="17" t="s">
        <v>73</v>
      </c>
      <c r="D15" s="18" t="n">
        <v>46332</v>
      </c>
      <c r="E15" s="19" t="s">
        <v>70</v>
      </c>
      <c r="F15" s="16" t="s">
        <v>161</v>
      </c>
      <c r="G15" s="17" t="s">
        <v>162</v>
      </c>
      <c r="H15" s="18" t="n">
        <v>46276</v>
      </c>
      <c r="I15" s="19" t="s">
        <v>115</v>
      </c>
      <c r="J15" s="17" t="s">
        <v>163</v>
      </c>
      <c r="K15" s="20" t="s">
        <v>117</v>
      </c>
      <c r="L15" s="16" t="s">
        <v>118</v>
      </c>
      <c r="M15" s="20" t="n">
        <v>2</v>
      </c>
      <c r="N15" s="17"/>
      <c r="O15" s="19" t="s">
        <v>119</v>
      </c>
      <c r="P15" s="21"/>
    </row>
    <row r="16" customFormat="false" ht="32.8" hidden="false" customHeight="false" outlineLevel="0" collapsed="false">
      <c r="A16" s="16" t="s">
        <v>112</v>
      </c>
      <c r="B16" s="16" t="s">
        <v>72</v>
      </c>
      <c r="C16" s="17" t="s">
        <v>73</v>
      </c>
      <c r="D16" s="18" t="n">
        <v>46332</v>
      </c>
      <c r="E16" s="19" t="s">
        <v>70</v>
      </c>
      <c r="F16" s="16" t="s">
        <v>161</v>
      </c>
      <c r="G16" s="17" t="s">
        <v>162</v>
      </c>
      <c r="H16" s="18" t="n">
        <v>46276</v>
      </c>
      <c r="I16" s="19" t="s">
        <v>115</v>
      </c>
      <c r="J16" s="17" t="s">
        <v>164</v>
      </c>
      <c r="K16" s="20" t="s">
        <v>117</v>
      </c>
      <c r="L16" s="16" t="s">
        <v>118</v>
      </c>
      <c r="M16" s="20" t="n">
        <v>2</v>
      </c>
      <c r="N16" s="17"/>
      <c r="O16" s="19" t="s">
        <v>119</v>
      </c>
      <c r="P16" s="21"/>
    </row>
    <row r="17" customFormat="false" ht="32.8" hidden="false" customHeight="false" outlineLevel="0" collapsed="false">
      <c r="A17" s="16" t="s">
        <v>112</v>
      </c>
      <c r="B17" s="16" t="s">
        <v>72</v>
      </c>
      <c r="C17" s="17" t="s">
        <v>73</v>
      </c>
      <c r="D17" s="18" t="n">
        <v>46332</v>
      </c>
      <c r="E17" s="19" t="s">
        <v>70</v>
      </c>
      <c r="F17" s="16" t="s">
        <v>161</v>
      </c>
      <c r="G17" s="17" t="s">
        <v>162</v>
      </c>
      <c r="H17" s="18" t="n">
        <v>46276</v>
      </c>
      <c r="I17" s="19" t="s">
        <v>115</v>
      </c>
      <c r="J17" s="17" t="s">
        <v>165</v>
      </c>
      <c r="K17" s="20" t="s">
        <v>117</v>
      </c>
      <c r="L17" s="16" t="s">
        <v>118</v>
      </c>
      <c r="M17" s="20" t="n">
        <v>3</v>
      </c>
      <c r="N17" s="17" t="s">
        <v>166</v>
      </c>
      <c r="O17" s="19" t="s">
        <v>119</v>
      </c>
      <c r="P17" s="21"/>
    </row>
    <row r="18" customFormat="false" ht="32.8" hidden="false" customHeight="false" outlineLevel="0" collapsed="false">
      <c r="A18" s="16" t="s">
        <v>112</v>
      </c>
      <c r="B18" s="16" t="s">
        <v>72</v>
      </c>
      <c r="C18" s="17" t="s">
        <v>73</v>
      </c>
      <c r="D18" s="18" t="n">
        <v>46332</v>
      </c>
      <c r="E18" s="19" t="s">
        <v>70</v>
      </c>
      <c r="F18" s="16" t="s">
        <v>161</v>
      </c>
      <c r="G18" s="17" t="s">
        <v>162</v>
      </c>
      <c r="H18" s="18" t="n">
        <v>46276</v>
      </c>
      <c r="I18" s="19" t="s">
        <v>115</v>
      </c>
      <c r="J18" s="17" t="s">
        <v>167</v>
      </c>
      <c r="K18" s="20" t="s">
        <v>117</v>
      </c>
      <c r="L18" s="16" t="s">
        <v>118</v>
      </c>
      <c r="M18" s="20" t="n">
        <v>1</v>
      </c>
      <c r="N18" s="17" t="s">
        <v>168</v>
      </c>
      <c r="O18" s="19" t="s">
        <v>119</v>
      </c>
      <c r="P18" s="21"/>
    </row>
    <row r="19" customFormat="false" ht="32.8" hidden="false" customHeight="false" outlineLevel="0" collapsed="false">
      <c r="A19" s="16" t="s">
        <v>112</v>
      </c>
      <c r="B19" s="16" t="s">
        <v>72</v>
      </c>
      <c r="C19" s="17" t="s">
        <v>73</v>
      </c>
      <c r="D19" s="18" t="n">
        <v>46332</v>
      </c>
      <c r="E19" s="19" t="s">
        <v>70</v>
      </c>
      <c r="F19" s="16" t="s">
        <v>161</v>
      </c>
      <c r="G19" s="17" t="s">
        <v>162</v>
      </c>
      <c r="H19" s="18" t="n">
        <v>46276</v>
      </c>
      <c r="I19" s="19" t="s">
        <v>115</v>
      </c>
      <c r="J19" s="17" t="s">
        <v>169</v>
      </c>
      <c r="K19" s="20" t="s">
        <v>117</v>
      </c>
      <c r="L19" s="16" t="s">
        <v>118</v>
      </c>
      <c r="M19" s="20" t="n">
        <v>2</v>
      </c>
      <c r="N19" s="17" t="s">
        <v>170</v>
      </c>
      <c r="O19" s="19" t="s">
        <v>119</v>
      </c>
      <c r="P19" s="21"/>
    </row>
    <row r="20" customFormat="false" ht="32.8" hidden="false" customHeight="false" outlineLevel="0" collapsed="false">
      <c r="A20" s="16" t="s">
        <v>112</v>
      </c>
      <c r="B20" s="16" t="s">
        <v>72</v>
      </c>
      <c r="C20" s="17" t="s">
        <v>73</v>
      </c>
      <c r="D20" s="18" t="n">
        <v>46332</v>
      </c>
      <c r="E20" s="19" t="s">
        <v>70</v>
      </c>
      <c r="F20" s="16" t="s">
        <v>171</v>
      </c>
      <c r="G20" s="17" t="s">
        <v>172</v>
      </c>
      <c r="H20" s="18" t="n">
        <v>46290</v>
      </c>
      <c r="I20" s="19" t="s">
        <v>115</v>
      </c>
      <c r="J20" s="17" t="s">
        <v>173</v>
      </c>
      <c r="K20" s="20" t="s">
        <v>123</v>
      </c>
      <c r="L20" s="16" t="s">
        <v>118</v>
      </c>
      <c r="M20" s="20" t="n">
        <v>6</v>
      </c>
      <c r="N20" s="17" t="s">
        <v>161</v>
      </c>
      <c r="O20" s="19" t="s">
        <v>119</v>
      </c>
      <c r="P20" s="21"/>
    </row>
    <row r="21" customFormat="false" ht="32.8" hidden="false" customHeight="false" outlineLevel="0" collapsed="false">
      <c r="A21" s="16" t="s">
        <v>112</v>
      </c>
      <c r="B21" s="16" t="s">
        <v>72</v>
      </c>
      <c r="C21" s="17" t="s">
        <v>73</v>
      </c>
      <c r="D21" s="18" t="n">
        <v>46332</v>
      </c>
      <c r="E21" s="19" t="s">
        <v>70</v>
      </c>
      <c r="F21" s="16" t="s">
        <v>171</v>
      </c>
      <c r="G21" s="17" t="s">
        <v>172</v>
      </c>
      <c r="H21" s="18" t="n">
        <v>46290</v>
      </c>
      <c r="I21" s="19" t="s">
        <v>115</v>
      </c>
      <c r="J21" s="17" t="s">
        <v>174</v>
      </c>
      <c r="K21" s="20" t="s">
        <v>123</v>
      </c>
      <c r="L21" s="16" t="s">
        <v>118</v>
      </c>
      <c r="M21" s="20" t="n">
        <v>4</v>
      </c>
      <c r="N21" s="17" t="s">
        <v>161</v>
      </c>
      <c r="O21" s="19" t="s">
        <v>119</v>
      </c>
      <c r="P21" s="21"/>
    </row>
    <row r="22" customFormat="false" ht="32.8" hidden="false" customHeight="false" outlineLevel="0" collapsed="false">
      <c r="A22" s="16" t="s">
        <v>112</v>
      </c>
      <c r="B22" s="16" t="s">
        <v>72</v>
      </c>
      <c r="C22" s="17" t="s">
        <v>73</v>
      </c>
      <c r="D22" s="18" t="n">
        <v>46332</v>
      </c>
      <c r="E22" s="19" t="s">
        <v>70</v>
      </c>
      <c r="F22" s="16" t="s">
        <v>171</v>
      </c>
      <c r="G22" s="17" t="s">
        <v>172</v>
      </c>
      <c r="H22" s="18" t="n">
        <v>46290</v>
      </c>
      <c r="I22" s="19" t="s">
        <v>115</v>
      </c>
      <c r="J22" s="17" t="s">
        <v>175</v>
      </c>
      <c r="K22" s="20" t="s">
        <v>123</v>
      </c>
      <c r="L22" s="16" t="s">
        <v>118</v>
      </c>
      <c r="M22" s="20" t="n">
        <v>2</v>
      </c>
      <c r="N22" s="17" t="s">
        <v>176</v>
      </c>
      <c r="O22" s="19" t="s">
        <v>119</v>
      </c>
      <c r="P22" s="21"/>
    </row>
    <row r="23" customFormat="false" ht="32.8" hidden="false" customHeight="false" outlineLevel="0" collapsed="false">
      <c r="A23" s="16" t="s">
        <v>112</v>
      </c>
      <c r="B23" s="16" t="s">
        <v>72</v>
      </c>
      <c r="C23" s="17" t="s">
        <v>73</v>
      </c>
      <c r="D23" s="18" t="n">
        <v>46332</v>
      </c>
      <c r="E23" s="19" t="s">
        <v>70</v>
      </c>
      <c r="F23" s="16" t="s">
        <v>171</v>
      </c>
      <c r="G23" s="17" t="s">
        <v>172</v>
      </c>
      <c r="H23" s="18" t="n">
        <v>46290</v>
      </c>
      <c r="I23" s="19" t="s">
        <v>115</v>
      </c>
      <c r="J23" s="17" t="s">
        <v>177</v>
      </c>
      <c r="K23" s="20" t="s">
        <v>123</v>
      </c>
      <c r="L23" s="16" t="s">
        <v>118</v>
      </c>
      <c r="M23" s="20" t="n">
        <v>1</v>
      </c>
      <c r="N23" s="17" t="s">
        <v>176</v>
      </c>
      <c r="O23" s="19" t="s">
        <v>119</v>
      </c>
      <c r="P23" s="21"/>
    </row>
    <row r="24" customFormat="false" ht="53.7" hidden="false" customHeight="false" outlineLevel="0" collapsed="false">
      <c r="A24" s="16" t="s">
        <v>112</v>
      </c>
      <c r="B24" s="16" t="s">
        <v>72</v>
      </c>
      <c r="C24" s="17" t="s">
        <v>73</v>
      </c>
      <c r="D24" s="18" t="n">
        <v>46332</v>
      </c>
      <c r="E24" s="19" t="s">
        <v>70</v>
      </c>
      <c r="F24" s="16" t="s">
        <v>178</v>
      </c>
      <c r="G24" s="17" t="s">
        <v>179</v>
      </c>
      <c r="H24" s="18" t="n">
        <v>46304</v>
      </c>
      <c r="I24" s="19" t="s">
        <v>115</v>
      </c>
      <c r="J24" s="17" t="s">
        <v>180</v>
      </c>
      <c r="K24" s="20" t="s">
        <v>126</v>
      </c>
      <c r="L24" s="16" t="s">
        <v>118</v>
      </c>
      <c r="M24" s="20" t="n">
        <v>4</v>
      </c>
      <c r="N24" s="17" t="s">
        <v>171</v>
      </c>
      <c r="O24" s="19" t="s">
        <v>119</v>
      </c>
      <c r="P24" s="21"/>
    </row>
    <row r="25" customFormat="false" ht="53.7" hidden="false" customHeight="false" outlineLevel="0" collapsed="false">
      <c r="A25" s="16" t="s">
        <v>112</v>
      </c>
      <c r="B25" s="16" t="s">
        <v>72</v>
      </c>
      <c r="C25" s="17" t="s">
        <v>73</v>
      </c>
      <c r="D25" s="18" t="n">
        <v>46332</v>
      </c>
      <c r="E25" s="19" t="s">
        <v>70</v>
      </c>
      <c r="F25" s="16" t="s">
        <v>178</v>
      </c>
      <c r="G25" s="17" t="s">
        <v>179</v>
      </c>
      <c r="H25" s="18" t="n">
        <v>46304</v>
      </c>
      <c r="I25" s="19" t="s">
        <v>115</v>
      </c>
      <c r="J25" s="17" t="s">
        <v>181</v>
      </c>
      <c r="K25" s="20" t="s">
        <v>126</v>
      </c>
      <c r="L25" s="16" t="s">
        <v>118</v>
      </c>
      <c r="M25" s="20" t="n">
        <v>3</v>
      </c>
      <c r="N25" s="17" t="s">
        <v>182</v>
      </c>
      <c r="O25" s="19" t="s">
        <v>119</v>
      </c>
      <c r="P25" s="21"/>
    </row>
    <row r="26" customFormat="false" ht="53.7" hidden="false" customHeight="false" outlineLevel="0" collapsed="false">
      <c r="A26" s="16" t="s">
        <v>112</v>
      </c>
      <c r="B26" s="16" t="s">
        <v>72</v>
      </c>
      <c r="C26" s="17" t="s">
        <v>73</v>
      </c>
      <c r="D26" s="18" t="n">
        <v>46332</v>
      </c>
      <c r="E26" s="19" t="s">
        <v>70</v>
      </c>
      <c r="F26" s="16" t="s">
        <v>178</v>
      </c>
      <c r="G26" s="17" t="s">
        <v>179</v>
      </c>
      <c r="H26" s="18" t="n">
        <v>46304</v>
      </c>
      <c r="I26" s="19" t="s">
        <v>115</v>
      </c>
      <c r="J26" s="17" t="s">
        <v>183</v>
      </c>
      <c r="K26" s="20" t="s">
        <v>126</v>
      </c>
      <c r="L26" s="16" t="s">
        <v>118</v>
      </c>
      <c r="M26" s="20" t="n">
        <v>3</v>
      </c>
      <c r="N26" s="17" t="s">
        <v>182</v>
      </c>
      <c r="O26" s="19" t="s">
        <v>119</v>
      </c>
      <c r="P26" s="21"/>
    </row>
    <row r="27" customFormat="false" ht="53.7" hidden="false" customHeight="false" outlineLevel="0" collapsed="false">
      <c r="A27" s="16" t="s">
        <v>112</v>
      </c>
      <c r="B27" s="16" t="s">
        <v>72</v>
      </c>
      <c r="C27" s="17" t="s">
        <v>73</v>
      </c>
      <c r="D27" s="18" t="n">
        <v>46332</v>
      </c>
      <c r="E27" s="19" t="s">
        <v>70</v>
      </c>
      <c r="F27" s="16" t="s">
        <v>178</v>
      </c>
      <c r="G27" s="17" t="s">
        <v>179</v>
      </c>
      <c r="H27" s="18" t="n">
        <v>46304</v>
      </c>
      <c r="I27" s="19" t="s">
        <v>115</v>
      </c>
      <c r="J27" s="17" t="s">
        <v>184</v>
      </c>
      <c r="K27" s="20" t="s">
        <v>126</v>
      </c>
      <c r="L27" s="16" t="s">
        <v>118</v>
      </c>
      <c r="M27" s="20" t="n">
        <v>3</v>
      </c>
      <c r="N27" s="17" t="s">
        <v>185</v>
      </c>
      <c r="O27" s="19" t="s">
        <v>119</v>
      </c>
      <c r="P27" s="21"/>
    </row>
    <row r="28" customFormat="false" ht="32.8" hidden="false" customHeight="false" outlineLevel="0" collapsed="false">
      <c r="A28" s="16" t="s">
        <v>112</v>
      </c>
      <c r="B28" s="16" t="s">
        <v>72</v>
      </c>
      <c r="C28" s="17" t="s">
        <v>73</v>
      </c>
      <c r="D28" s="18" t="n">
        <v>46332</v>
      </c>
      <c r="E28" s="19" t="s">
        <v>70</v>
      </c>
      <c r="F28" s="16" t="s">
        <v>186</v>
      </c>
      <c r="G28" s="17" t="s">
        <v>187</v>
      </c>
      <c r="H28" s="18" t="n">
        <v>46318</v>
      </c>
      <c r="I28" s="19" t="s">
        <v>115</v>
      </c>
      <c r="J28" s="17" t="s">
        <v>188</v>
      </c>
      <c r="K28" s="20" t="s">
        <v>126</v>
      </c>
      <c r="L28" s="16" t="s">
        <v>118</v>
      </c>
      <c r="M28" s="20" t="n">
        <v>2</v>
      </c>
      <c r="N28" s="17" t="s">
        <v>178</v>
      </c>
      <c r="O28" s="19" t="s">
        <v>119</v>
      </c>
      <c r="P28" s="21"/>
    </row>
    <row r="29" customFormat="false" ht="32.8" hidden="false" customHeight="false" outlineLevel="0" collapsed="false">
      <c r="A29" s="16" t="s">
        <v>112</v>
      </c>
      <c r="B29" s="16" t="s">
        <v>72</v>
      </c>
      <c r="C29" s="17" t="s">
        <v>73</v>
      </c>
      <c r="D29" s="18" t="n">
        <v>46332</v>
      </c>
      <c r="E29" s="19" t="s">
        <v>70</v>
      </c>
      <c r="F29" s="16" t="s">
        <v>186</v>
      </c>
      <c r="G29" s="17" t="s">
        <v>187</v>
      </c>
      <c r="H29" s="18" t="n">
        <v>46318</v>
      </c>
      <c r="I29" s="19" t="s">
        <v>115</v>
      </c>
      <c r="J29" s="17" t="s">
        <v>189</v>
      </c>
      <c r="K29" s="20" t="s">
        <v>126</v>
      </c>
      <c r="L29" s="16" t="s">
        <v>118</v>
      </c>
      <c r="M29" s="20" t="n">
        <v>5</v>
      </c>
      <c r="N29" s="17" t="s">
        <v>178</v>
      </c>
      <c r="O29" s="19" t="s">
        <v>119</v>
      </c>
      <c r="P29" s="21"/>
    </row>
    <row r="30" customFormat="false" ht="32.8" hidden="false" customHeight="false" outlineLevel="0" collapsed="false">
      <c r="A30" s="16" t="s">
        <v>112</v>
      </c>
      <c r="B30" s="16" t="s">
        <v>72</v>
      </c>
      <c r="C30" s="17" t="s">
        <v>73</v>
      </c>
      <c r="D30" s="18" t="n">
        <v>46332</v>
      </c>
      <c r="E30" s="19" t="s">
        <v>70</v>
      </c>
      <c r="F30" s="16" t="s">
        <v>186</v>
      </c>
      <c r="G30" s="17" t="s">
        <v>187</v>
      </c>
      <c r="H30" s="18" t="n">
        <v>46318</v>
      </c>
      <c r="I30" s="19" t="s">
        <v>115</v>
      </c>
      <c r="J30" s="17" t="s">
        <v>190</v>
      </c>
      <c r="K30" s="20" t="s">
        <v>131</v>
      </c>
      <c r="L30" s="16" t="s">
        <v>118</v>
      </c>
      <c r="M30" s="20" t="n">
        <v>2</v>
      </c>
      <c r="N30" s="17" t="s">
        <v>186</v>
      </c>
      <c r="O30" s="19" t="s">
        <v>119</v>
      </c>
      <c r="P30" s="21"/>
    </row>
    <row r="31" customFormat="false" ht="32.8" hidden="false" customHeight="false" outlineLevel="0" collapsed="false">
      <c r="A31" s="16" t="s">
        <v>112</v>
      </c>
      <c r="B31" s="16" t="s">
        <v>72</v>
      </c>
      <c r="C31" s="17" t="s">
        <v>73</v>
      </c>
      <c r="D31" s="18" t="n">
        <v>46332</v>
      </c>
      <c r="E31" s="19" t="s">
        <v>70</v>
      </c>
      <c r="F31" s="16" t="s">
        <v>186</v>
      </c>
      <c r="G31" s="17" t="s">
        <v>187</v>
      </c>
      <c r="H31" s="18" t="n">
        <v>46318</v>
      </c>
      <c r="I31" s="19" t="s">
        <v>115</v>
      </c>
      <c r="J31" s="17" t="s">
        <v>191</v>
      </c>
      <c r="K31" s="20" t="s">
        <v>131</v>
      </c>
      <c r="L31" s="16" t="s">
        <v>118</v>
      </c>
      <c r="M31" s="20" t="n">
        <v>2</v>
      </c>
      <c r="N31" s="17" t="s">
        <v>186</v>
      </c>
      <c r="O31" s="19" t="s">
        <v>119</v>
      </c>
      <c r="P31" s="21"/>
    </row>
    <row r="32" customFormat="false" ht="32.8" hidden="false" customHeight="false" outlineLevel="0" collapsed="false">
      <c r="A32" s="16" t="s">
        <v>112</v>
      </c>
      <c r="B32" s="16" t="s">
        <v>72</v>
      </c>
      <c r="C32" s="17" t="s">
        <v>73</v>
      </c>
      <c r="D32" s="18" t="n">
        <v>46332</v>
      </c>
      <c r="E32" s="19" t="s">
        <v>70</v>
      </c>
      <c r="F32" s="16" t="s">
        <v>186</v>
      </c>
      <c r="G32" s="17" t="s">
        <v>187</v>
      </c>
      <c r="H32" s="18" t="n">
        <v>46318</v>
      </c>
      <c r="I32" s="19" t="s">
        <v>115</v>
      </c>
      <c r="J32" s="17" t="s">
        <v>192</v>
      </c>
      <c r="K32" s="20" t="s">
        <v>131</v>
      </c>
      <c r="L32" s="16" t="s">
        <v>118</v>
      </c>
      <c r="M32" s="20" t="n">
        <v>2</v>
      </c>
      <c r="N32" s="17" t="s">
        <v>186</v>
      </c>
      <c r="O32" s="19" t="s">
        <v>119</v>
      </c>
      <c r="P32" s="21"/>
    </row>
    <row r="33" customFormat="false" ht="32.8" hidden="false" customHeight="false" outlineLevel="0" collapsed="false">
      <c r="A33" s="16" t="s">
        <v>112</v>
      </c>
      <c r="B33" s="16" t="s">
        <v>72</v>
      </c>
      <c r="C33" s="17" t="s">
        <v>73</v>
      </c>
      <c r="D33" s="18" t="n">
        <v>46332</v>
      </c>
      <c r="E33" s="19" t="s">
        <v>70</v>
      </c>
      <c r="F33" s="16"/>
      <c r="G33" s="17"/>
      <c r="H33" s="18"/>
      <c r="I33" s="19"/>
      <c r="J33" s="17" t="s">
        <v>193</v>
      </c>
      <c r="K33" s="20" t="s">
        <v>131</v>
      </c>
      <c r="L33" s="16" t="s">
        <v>118</v>
      </c>
      <c r="M33" s="20" t="n">
        <v>1</v>
      </c>
      <c r="N33" s="17" t="s">
        <v>194</v>
      </c>
      <c r="O33" s="19" t="s">
        <v>119</v>
      </c>
      <c r="P33" s="21"/>
    </row>
    <row r="34" customFormat="false" ht="32.8" hidden="false" customHeight="false" outlineLevel="0" collapsed="false">
      <c r="A34" s="16" t="s">
        <v>112</v>
      </c>
      <c r="B34" s="16" t="s">
        <v>72</v>
      </c>
      <c r="C34" s="17" t="s">
        <v>73</v>
      </c>
      <c r="D34" s="18" t="n">
        <v>46332</v>
      </c>
      <c r="E34" s="19" t="s">
        <v>70</v>
      </c>
      <c r="F34" s="16"/>
      <c r="G34" s="17"/>
      <c r="H34" s="18"/>
      <c r="I34" s="19"/>
      <c r="J34" s="17" t="s">
        <v>195</v>
      </c>
      <c r="K34" s="20" t="s">
        <v>196</v>
      </c>
      <c r="L34" s="16" t="s">
        <v>118</v>
      </c>
      <c r="M34" s="20" t="n">
        <v>2</v>
      </c>
      <c r="N34" s="17" t="s">
        <v>197</v>
      </c>
      <c r="O34" s="19" t="s">
        <v>119</v>
      </c>
      <c r="P34" s="21"/>
    </row>
  </sheetData>
  <autoFilter ref="A3:P34"/>
  <mergeCells count="1">
    <mergeCell ref="A1:L1"/>
  </mergeCells>
  <dataValidations count="3">
    <dataValidation allowBlank="true" errorStyle="stop" operator="between" showDropDown="false" showErrorMessage="false" showInputMessage="false" sqref="O4:O34" type="list">
      <formula1>"Backlog,To do,In progress,Blocked,Done"</formula1>
      <formula2>0</formula2>
    </dataValidation>
    <dataValidation allowBlank="true" errorStyle="stop" operator="between" showDropDown="false" showErrorMessage="false" showInputMessage="false" sqref="I4:I34" type="list">
      <formula1>"Não iniciado,Em curso,Feito"</formula1>
      <formula2>0</formula2>
    </dataValidation>
    <dataValidation allowBlank="true" errorStyle="stop" operator="between" showDropDown="false" showErrorMessage="false" showInputMessage="false" sqref="E4:E34" type="list">
      <formula1>"Não iniciada,Em curso,Feita"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5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21.75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1.5" hidden="false" customHeight="true" outlineLevel="0" collapsed="false">
      <c r="A3" s="27" t="s">
        <v>2</v>
      </c>
      <c r="B3" s="27" t="s">
        <v>4</v>
      </c>
      <c r="C3" s="27" t="s">
        <v>13</v>
      </c>
      <c r="D3" s="27" t="s">
        <v>61</v>
      </c>
      <c r="E3" s="27" t="s">
        <v>62</v>
      </c>
      <c r="F3" s="27" t="s">
        <v>6</v>
      </c>
      <c r="G3" s="27" t="s">
        <v>106</v>
      </c>
      <c r="H3" s="27" t="s">
        <v>107</v>
      </c>
      <c r="I3" s="27" t="s">
        <v>108</v>
      </c>
      <c r="J3" s="27" t="s">
        <v>8</v>
      </c>
      <c r="K3" s="27" t="s">
        <v>39</v>
      </c>
      <c r="L3" s="27" t="s">
        <v>109</v>
      </c>
      <c r="M3" s="27" t="s">
        <v>110</v>
      </c>
      <c r="N3" s="27" t="s">
        <v>43</v>
      </c>
      <c r="O3" s="27" t="s">
        <v>111</v>
      </c>
      <c r="P3" s="27" t="s">
        <v>45</v>
      </c>
    </row>
    <row r="4" customFormat="false" ht="64.15" hidden="false" customHeight="false" outlineLevel="0" collapsed="false">
      <c r="A4" s="16" t="s">
        <v>112</v>
      </c>
      <c r="B4" s="16" t="s">
        <v>75</v>
      </c>
      <c r="C4" s="17" t="s">
        <v>76</v>
      </c>
      <c r="D4" s="18" t="n">
        <v>46346</v>
      </c>
      <c r="E4" s="19" t="s">
        <v>70</v>
      </c>
      <c r="F4" s="16" t="s">
        <v>198</v>
      </c>
      <c r="G4" s="17" t="s">
        <v>199</v>
      </c>
      <c r="H4" s="18" t="n">
        <v>46304</v>
      </c>
      <c r="I4" s="19" t="s">
        <v>115</v>
      </c>
      <c r="J4" s="17" t="s">
        <v>181</v>
      </c>
      <c r="K4" s="20" t="s">
        <v>126</v>
      </c>
      <c r="L4" s="16" t="s">
        <v>118</v>
      </c>
      <c r="M4" s="20" t="n">
        <v>4</v>
      </c>
      <c r="N4" s="17" t="s">
        <v>200</v>
      </c>
      <c r="O4" s="19" t="s">
        <v>119</v>
      </c>
      <c r="P4" s="21"/>
    </row>
    <row r="5" customFormat="false" ht="64.15" hidden="false" customHeight="false" outlineLevel="0" collapsed="false">
      <c r="A5" s="16" t="s">
        <v>112</v>
      </c>
      <c r="B5" s="16" t="s">
        <v>75</v>
      </c>
      <c r="C5" s="17" t="s">
        <v>76</v>
      </c>
      <c r="D5" s="18" t="n">
        <v>46346</v>
      </c>
      <c r="E5" s="19" t="s">
        <v>70</v>
      </c>
      <c r="F5" s="16" t="s">
        <v>198</v>
      </c>
      <c r="G5" s="17" t="s">
        <v>199</v>
      </c>
      <c r="H5" s="18" t="n">
        <v>46304</v>
      </c>
      <c r="I5" s="19" t="s">
        <v>115</v>
      </c>
      <c r="J5" s="17" t="s">
        <v>201</v>
      </c>
      <c r="K5" s="20" t="s">
        <v>126</v>
      </c>
      <c r="L5" s="16" t="s">
        <v>118</v>
      </c>
      <c r="M5" s="20" t="n">
        <v>5</v>
      </c>
      <c r="N5" s="17" t="s">
        <v>202</v>
      </c>
      <c r="O5" s="19" t="s">
        <v>119</v>
      </c>
      <c r="P5" s="21"/>
    </row>
    <row r="6" customFormat="false" ht="64.15" hidden="false" customHeight="false" outlineLevel="0" collapsed="false">
      <c r="A6" s="16" t="s">
        <v>112</v>
      </c>
      <c r="B6" s="16" t="s">
        <v>75</v>
      </c>
      <c r="C6" s="17" t="s">
        <v>76</v>
      </c>
      <c r="D6" s="18" t="n">
        <v>46346</v>
      </c>
      <c r="E6" s="19" t="s">
        <v>70</v>
      </c>
      <c r="F6" s="16" t="s">
        <v>203</v>
      </c>
      <c r="G6" s="17" t="s">
        <v>204</v>
      </c>
      <c r="H6" s="18" t="n">
        <v>46304</v>
      </c>
      <c r="I6" s="19" t="s">
        <v>115</v>
      </c>
      <c r="J6" s="17" t="s">
        <v>205</v>
      </c>
      <c r="K6" s="20" t="s">
        <v>126</v>
      </c>
      <c r="L6" s="16" t="s">
        <v>118</v>
      </c>
      <c r="M6" s="20" t="n">
        <v>3</v>
      </c>
      <c r="N6" s="17" t="s">
        <v>206</v>
      </c>
      <c r="O6" s="19" t="s">
        <v>119</v>
      </c>
      <c r="P6" s="21"/>
    </row>
    <row r="7" customFormat="false" ht="64.15" hidden="false" customHeight="false" outlineLevel="0" collapsed="false">
      <c r="A7" s="16" t="s">
        <v>112</v>
      </c>
      <c r="B7" s="16" t="s">
        <v>75</v>
      </c>
      <c r="C7" s="17" t="s">
        <v>76</v>
      </c>
      <c r="D7" s="18" t="n">
        <v>46346</v>
      </c>
      <c r="E7" s="19" t="s">
        <v>70</v>
      </c>
      <c r="F7" s="16" t="s">
        <v>203</v>
      </c>
      <c r="G7" s="17" t="s">
        <v>204</v>
      </c>
      <c r="H7" s="18" t="n">
        <v>46304</v>
      </c>
      <c r="I7" s="19" t="s">
        <v>115</v>
      </c>
      <c r="J7" s="17" t="s">
        <v>207</v>
      </c>
      <c r="K7" s="20" t="s">
        <v>126</v>
      </c>
      <c r="L7" s="16" t="s">
        <v>118</v>
      </c>
      <c r="M7" s="20" t="n">
        <v>3</v>
      </c>
      <c r="N7" s="17" t="s">
        <v>208</v>
      </c>
      <c r="O7" s="19" t="s">
        <v>119</v>
      </c>
      <c r="P7" s="21"/>
    </row>
    <row r="8" customFormat="false" ht="64.15" hidden="false" customHeight="false" outlineLevel="0" collapsed="false">
      <c r="A8" s="16" t="s">
        <v>112</v>
      </c>
      <c r="B8" s="16" t="s">
        <v>75</v>
      </c>
      <c r="C8" s="17" t="s">
        <v>76</v>
      </c>
      <c r="D8" s="18" t="n">
        <v>46346</v>
      </c>
      <c r="E8" s="19" t="s">
        <v>70</v>
      </c>
      <c r="F8" s="16" t="s">
        <v>203</v>
      </c>
      <c r="G8" s="17" t="s">
        <v>204</v>
      </c>
      <c r="H8" s="18" t="n">
        <v>46304</v>
      </c>
      <c r="I8" s="19" t="s">
        <v>115</v>
      </c>
      <c r="J8" s="17" t="s">
        <v>209</v>
      </c>
      <c r="K8" s="20" t="s">
        <v>126</v>
      </c>
      <c r="L8" s="16" t="s">
        <v>118</v>
      </c>
      <c r="M8" s="20" t="n">
        <v>3</v>
      </c>
      <c r="N8" s="17" t="s">
        <v>210</v>
      </c>
      <c r="O8" s="19" t="s">
        <v>119</v>
      </c>
      <c r="P8" s="21"/>
    </row>
    <row r="9" customFormat="false" ht="64.15" hidden="false" customHeight="false" outlineLevel="0" collapsed="false">
      <c r="A9" s="16" t="s">
        <v>112</v>
      </c>
      <c r="B9" s="16" t="s">
        <v>75</v>
      </c>
      <c r="C9" s="17" t="s">
        <v>76</v>
      </c>
      <c r="D9" s="18" t="n">
        <v>46346</v>
      </c>
      <c r="E9" s="19" t="s">
        <v>70</v>
      </c>
      <c r="F9" s="16" t="s">
        <v>211</v>
      </c>
      <c r="G9" s="17" t="s">
        <v>212</v>
      </c>
      <c r="H9" s="18" t="n">
        <v>46318</v>
      </c>
      <c r="I9" s="19" t="s">
        <v>115</v>
      </c>
      <c r="J9" s="17" t="s">
        <v>213</v>
      </c>
      <c r="K9" s="20" t="s">
        <v>126</v>
      </c>
      <c r="L9" s="16" t="s">
        <v>118</v>
      </c>
      <c r="M9" s="20" t="n">
        <v>5</v>
      </c>
      <c r="N9" s="17" t="s">
        <v>214</v>
      </c>
      <c r="O9" s="19" t="s">
        <v>119</v>
      </c>
      <c r="P9" s="21"/>
    </row>
    <row r="10" customFormat="false" ht="64.15" hidden="false" customHeight="false" outlineLevel="0" collapsed="false">
      <c r="A10" s="16" t="s">
        <v>112</v>
      </c>
      <c r="B10" s="16" t="s">
        <v>75</v>
      </c>
      <c r="C10" s="17" t="s">
        <v>76</v>
      </c>
      <c r="D10" s="18" t="n">
        <v>46346</v>
      </c>
      <c r="E10" s="19" t="s">
        <v>70</v>
      </c>
      <c r="F10" s="16" t="s">
        <v>211</v>
      </c>
      <c r="G10" s="17" t="s">
        <v>212</v>
      </c>
      <c r="H10" s="18" t="n">
        <v>46318</v>
      </c>
      <c r="I10" s="19" t="s">
        <v>115</v>
      </c>
      <c r="J10" s="17" t="s">
        <v>215</v>
      </c>
      <c r="K10" s="20" t="s">
        <v>131</v>
      </c>
      <c r="L10" s="16" t="s">
        <v>118</v>
      </c>
      <c r="M10" s="20" t="n">
        <v>2</v>
      </c>
      <c r="N10" s="17" t="s">
        <v>216</v>
      </c>
      <c r="O10" s="19" t="s">
        <v>119</v>
      </c>
      <c r="P10" s="21"/>
    </row>
    <row r="11" customFormat="false" ht="64.15" hidden="false" customHeight="false" outlineLevel="0" collapsed="false">
      <c r="A11" s="16" t="s">
        <v>112</v>
      </c>
      <c r="B11" s="16" t="s">
        <v>75</v>
      </c>
      <c r="C11" s="17" t="s">
        <v>76</v>
      </c>
      <c r="D11" s="18" t="n">
        <v>46346</v>
      </c>
      <c r="E11" s="19" t="s">
        <v>70</v>
      </c>
      <c r="F11" s="16"/>
      <c r="G11" s="17"/>
      <c r="H11" s="18"/>
      <c r="I11" s="19"/>
      <c r="J11" s="17" t="s">
        <v>217</v>
      </c>
      <c r="K11" s="20" t="s">
        <v>196</v>
      </c>
      <c r="L11" s="16" t="s">
        <v>118</v>
      </c>
      <c r="M11" s="20" t="n">
        <v>2</v>
      </c>
      <c r="N11" s="17" t="s">
        <v>218</v>
      </c>
      <c r="O11" s="19" t="s">
        <v>119</v>
      </c>
      <c r="P11" s="21"/>
    </row>
    <row r="12" customFormat="false" ht="64.15" hidden="false" customHeight="false" outlineLevel="0" collapsed="false">
      <c r="A12" s="16" t="s">
        <v>112</v>
      </c>
      <c r="B12" s="16" t="s">
        <v>75</v>
      </c>
      <c r="C12" s="17" t="s">
        <v>76</v>
      </c>
      <c r="D12" s="18" t="n">
        <v>46346</v>
      </c>
      <c r="E12" s="19" t="s">
        <v>70</v>
      </c>
      <c r="F12" s="16"/>
      <c r="G12" s="17"/>
      <c r="H12" s="18"/>
      <c r="I12" s="19"/>
      <c r="J12" s="17" t="s">
        <v>219</v>
      </c>
      <c r="K12" s="20" t="s">
        <v>220</v>
      </c>
      <c r="L12" s="16" t="s">
        <v>118</v>
      </c>
      <c r="M12" s="20" t="n">
        <v>3</v>
      </c>
      <c r="N12" s="17" t="s">
        <v>221</v>
      </c>
      <c r="O12" s="19" t="s">
        <v>119</v>
      </c>
      <c r="P12" s="21"/>
    </row>
  </sheetData>
  <autoFilter ref="A3:P12"/>
  <mergeCells count="1">
    <mergeCell ref="A1:L1"/>
  </mergeCells>
  <dataValidations count="3">
    <dataValidation allowBlank="true" errorStyle="stop" operator="between" showDropDown="false" showErrorMessage="false" showInputMessage="false" sqref="O4:O12" type="list">
      <formula1>"Backlog,To do,In progress,Blocked,Done"</formula1>
      <formula2>0</formula2>
    </dataValidation>
    <dataValidation allowBlank="true" errorStyle="stop" operator="between" showDropDown="false" showErrorMessage="false" showInputMessage="false" sqref="I4:I12" type="list">
      <formula1>"Não iniciado,Em curso,Feito"</formula1>
      <formula2>0</formula2>
    </dataValidation>
    <dataValidation allowBlank="true" errorStyle="stop" operator="between" showDropDown="false" showErrorMessage="false" showInputMessage="false" sqref="E4:E12" type="list">
      <formula1>"Não iniciada,Em curso,Feita"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5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21.7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1.5" hidden="false" customHeight="true" outlineLevel="0" collapsed="false">
      <c r="A3" s="27" t="s">
        <v>2</v>
      </c>
      <c r="B3" s="27" t="s">
        <v>4</v>
      </c>
      <c r="C3" s="27" t="s">
        <v>13</v>
      </c>
      <c r="D3" s="27" t="s">
        <v>61</v>
      </c>
      <c r="E3" s="27" t="s">
        <v>62</v>
      </c>
      <c r="F3" s="27" t="s">
        <v>6</v>
      </c>
      <c r="G3" s="27" t="s">
        <v>106</v>
      </c>
      <c r="H3" s="27" t="s">
        <v>107</v>
      </c>
      <c r="I3" s="27" t="s">
        <v>108</v>
      </c>
      <c r="J3" s="27" t="s">
        <v>8</v>
      </c>
      <c r="K3" s="27" t="s">
        <v>39</v>
      </c>
      <c r="L3" s="27" t="s">
        <v>109</v>
      </c>
      <c r="M3" s="27" t="s">
        <v>110</v>
      </c>
      <c r="N3" s="27" t="s">
        <v>43</v>
      </c>
      <c r="O3" s="27" t="s">
        <v>111</v>
      </c>
      <c r="P3" s="27" t="s">
        <v>45</v>
      </c>
    </row>
    <row r="4" customFormat="false" ht="32.8" hidden="false" customHeight="false" outlineLevel="0" collapsed="false">
      <c r="A4" s="16" t="s">
        <v>112</v>
      </c>
      <c r="B4" s="16" t="s">
        <v>78</v>
      </c>
      <c r="C4" s="17" t="s">
        <v>79</v>
      </c>
      <c r="D4" s="18" t="n">
        <v>46542</v>
      </c>
      <c r="E4" s="19" t="s">
        <v>70</v>
      </c>
      <c r="F4" s="16" t="s">
        <v>222</v>
      </c>
      <c r="G4" s="17" t="s">
        <v>223</v>
      </c>
      <c r="H4" s="18" t="n">
        <v>46304</v>
      </c>
      <c r="I4" s="19" t="s">
        <v>224</v>
      </c>
      <c r="J4" s="17" t="s">
        <v>225</v>
      </c>
      <c r="K4" s="20" t="s">
        <v>117</v>
      </c>
      <c r="L4" s="16" t="s">
        <v>118</v>
      </c>
      <c r="M4" s="20" t="n">
        <v>2</v>
      </c>
      <c r="N4" s="17"/>
      <c r="O4" s="19" t="s">
        <v>226</v>
      </c>
      <c r="P4" s="21"/>
    </row>
    <row r="5" customFormat="false" ht="32.8" hidden="false" customHeight="false" outlineLevel="0" collapsed="false">
      <c r="A5" s="16" t="s">
        <v>112</v>
      </c>
      <c r="B5" s="16" t="s">
        <v>78</v>
      </c>
      <c r="C5" s="17" t="s">
        <v>79</v>
      </c>
      <c r="D5" s="18" t="n">
        <v>46542</v>
      </c>
      <c r="E5" s="19" t="s">
        <v>70</v>
      </c>
      <c r="F5" s="16" t="s">
        <v>222</v>
      </c>
      <c r="G5" s="17" t="s">
        <v>223</v>
      </c>
      <c r="H5" s="18" t="n">
        <v>46304</v>
      </c>
      <c r="I5" s="19" t="s">
        <v>224</v>
      </c>
      <c r="J5" s="17" t="s">
        <v>227</v>
      </c>
      <c r="K5" s="20" t="s">
        <v>123</v>
      </c>
      <c r="L5" s="16" t="s">
        <v>118</v>
      </c>
      <c r="M5" s="20" t="n">
        <v>2</v>
      </c>
      <c r="N5" s="17" t="s">
        <v>228</v>
      </c>
      <c r="O5" s="19" t="s">
        <v>119</v>
      </c>
      <c r="P5" s="21"/>
    </row>
    <row r="6" customFormat="false" ht="32.8" hidden="false" customHeight="false" outlineLevel="0" collapsed="false">
      <c r="A6" s="16" t="s">
        <v>112</v>
      </c>
      <c r="B6" s="16" t="s">
        <v>78</v>
      </c>
      <c r="C6" s="17" t="s">
        <v>79</v>
      </c>
      <c r="D6" s="18" t="n">
        <v>46542</v>
      </c>
      <c r="E6" s="19" t="s">
        <v>70</v>
      </c>
      <c r="F6" s="16" t="s">
        <v>222</v>
      </c>
      <c r="G6" s="17" t="s">
        <v>223</v>
      </c>
      <c r="H6" s="18" t="n">
        <v>46304</v>
      </c>
      <c r="I6" s="19" t="s">
        <v>224</v>
      </c>
      <c r="J6" s="17" t="s">
        <v>229</v>
      </c>
      <c r="K6" s="20" t="s">
        <v>126</v>
      </c>
      <c r="L6" s="16" t="s">
        <v>118</v>
      </c>
      <c r="M6" s="20" t="n">
        <v>2</v>
      </c>
      <c r="N6" s="17" t="s">
        <v>230</v>
      </c>
      <c r="O6" s="19" t="s">
        <v>119</v>
      </c>
      <c r="P6" s="21"/>
    </row>
    <row r="7" customFormat="false" ht="43.25" hidden="false" customHeight="false" outlineLevel="0" collapsed="false">
      <c r="A7" s="16" t="s">
        <v>112</v>
      </c>
      <c r="B7" s="16" t="s">
        <v>78</v>
      </c>
      <c r="C7" s="17" t="s">
        <v>79</v>
      </c>
      <c r="D7" s="18" t="n">
        <v>46542</v>
      </c>
      <c r="E7" s="19" t="s">
        <v>70</v>
      </c>
      <c r="F7" s="16" t="s">
        <v>231</v>
      </c>
      <c r="G7" s="17" t="s">
        <v>232</v>
      </c>
      <c r="H7" s="18" t="n">
        <v>46276</v>
      </c>
      <c r="I7" s="19" t="s">
        <v>115</v>
      </c>
      <c r="J7" s="17" t="s">
        <v>233</v>
      </c>
      <c r="K7" s="20" t="s">
        <v>117</v>
      </c>
      <c r="L7" s="16" t="s">
        <v>118</v>
      </c>
      <c r="M7" s="20" t="n">
        <v>1</v>
      </c>
      <c r="N7" s="17"/>
      <c r="O7" s="19" t="s">
        <v>119</v>
      </c>
      <c r="P7" s="21"/>
    </row>
    <row r="8" customFormat="false" ht="43.25" hidden="false" customHeight="false" outlineLevel="0" collapsed="false">
      <c r="A8" s="16" t="s">
        <v>112</v>
      </c>
      <c r="B8" s="16" t="s">
        <v>78</v>
      </c>
      <c r="C8" s="17" t="s">
        <v>79</v>
      </c>
      <c r="D8" s="18" t="n">
        <v>46542</v>
      </c>
      <c r="E8" s="19" t="s">
        <v>70</v>
      </c>
      <c r="F8" s="16" t="s">
        <v>231</v>
      </c>
      <c r="G8" s="17" t="s">
        <v>232</v>
      </c>
      <c r="H8" s="18" t="n">
        <v>46276</v>
      </c>
      <c r="I8" s="19" t="s">
        <v>115</v>
      </c>
      <c r="J8" s="17" t="s">
        <v>234</v>
      </c>
      <c r="K8" s="20" t="s">
        <v>117</v>
      </c>
      <c r="L8" s="16" t="s">
        <v>118</v>
      </c>
      <c r="M8" s="20" t="n">
        <v>2</v>
      </c>
      <c r="N8" s="17" t="s">
        <v>235</v>
      </c>
      <c r="O8" s="19" t="s">
        <v>119</v>
      </c>
      <c r="P8" s="21"/>
    </row>
    <row r="9" customFormat="false" ht="43.25" hidden="false" customHeight="false" outlineLevel="0" collapsed="false">
      <c r="A9" s="16" t="s">
        <v>112</v>
      </c>
      <c r="B9" s="16" t="s">
        <v>78</v>
      </c>
      <c r="C9" s="17" t="s">
        <v>79</v>
      </c>
      <c r="D9" s="18" t="n">
        <v>46542</v>
      </c>
      <c r="E9" s="19" t="s">
        <v>70</v>
      </c>
      <c r="F9" s="16" t="s">
        <v>231</v>
      </c>
      <c r="G9" s="17" t="s">
        <v>232</v>
      </c>
      <c r="H9" s="18" t="n">
        <v>46276</v>
      </c>
      <c r="I9" s="19" t="s">
        <v>115</v>
      </c>
      <c r="J9" s="17" t="s">
        <v>236</v>
      </c>
      <c r="K9" s="20" t="s">
        <v>117</v>
      </c>
      <c r="L9" s="16" t="s">
        <v>118</v>
      </c>
      <c r="M9" s="20" t="n">
        <v>1</v>
      </c>
      <c r="N9" s="17" t="s">
        <v>237</v>
      </c>
      <c r="O9" s="19" t="s">
        <v>119</v>
      </c>
      <c r="P9" s="21"/>
    </row>
    <row r="10" customFormat="false" ht="43.25" hidden="false" customHeight="false" outlineLevel="0" collapsed="false">
      <c r="A10" s="16" t="s">
        <v>112</v>
      </c>
      <c r="B10" s="16" t="s">
        <v>78</v>
      </c>
      <c r="C10" s="17" t="s">
        <v>79</v>
      </c>
      <c r="D10" s="18" t="n">
        <v>46542</v>
      </c>
      <c r="E10" s="19" t="s">
        <v>70</v>
      </c>
      <c r="F10" s="16" t="s">
        <v>231</v>
      </c>
      <c r="G10" s="17" t="s">
        <v>232</v>
      </c>
      <c r="H10" s="18" t="n">
        <v>46276</v>
      </c>
      <c r="I10" s="19" t="s">
        <v>115</v>
      </c>
      <c r="J10" s="17" t="s">
        <v>238</v>
      </c>
      <c r="K10" s="20" t="s">
        <v>117</v>
      </c>
      <c r="L10" s="16" t="s">
        <v>118</v>
      </c>
      <c r="M10" s="20" t="n">
        <v>1</v>
      </c>
      <c r="N10" s="17"/>
      <c r="O10" s="19" t="s">
        <v>119</v>
      </c>
      <c r="P10" s="21"/>
    </row>
    <row r="11" customFormat="false" ht="43.25" hidden="false" customHeight="false" outlineLevel="0" collapsed="false">
      <c r="A11" s="16" t="s">
        <v>112</v>
      </c>
      <c r="B11" s="16" t="s">
        <v>78</v>
      </c>
      <c r="C11" s="17" t="s">
        <v>79</v>
      </c>
      <c r="D11" s="18" t="n">
        <v>46542</v>
      </c>
      <c r="E11" s="19" t="s">
        <v>70</v>
      </c>
      <c r="F11" s="16" t="s">
        <v>231</v>
      </c>
      <c r="G11" s="17" t="s">
        <v>232</v>
      </c>
      <c r="H11" s="18" t="n">
        <v>46276</v>
      </c>
      <c r="I11" s="19" t="s">
        <v>115</v>
      </c>
      <c r="J11" s="17" t="s">
        <v>239</v>
      </c>
      <c r="K11" s="20" t="s">
        <v>117</v>
      </c>
      <c r="L11" s="16" t="s">
        <v>118</v>
      </c>
      <c r="M11" s="20" t="n">
        <v>1</v>
      </c>
      <c r="N11" s="17" t="s">
        <v>240</v>
      </c>
      <c r="O11" s="19" t="s">
        <v>119</v>
      </c>
      <c r="P11" s="21"/>
    </row>
    <row r="12" customFormat="false" ht="32.8" hidden="false" customHeight="false" outlineLevel="0" collapsed="false">
      <c r="A12" s="16" t="s">
        <v>112</v>
      </c>
      <c r="B12" s="16" t="s">
        <v>78</v>
      </c>
      <c r="C12" s="17" t="s">
        <v>79</v>
      </c>
      <c r="D12" s="18" t="n">
        <v>46542</v>
      </c>
      <c r="E12" s="19" t="s">
        <v>70</v>
      </c>
      <c r="F12" s="16" t="s">
        <v>241</v>
      </c>
      <c r="G12" s="17" t="s">
        <v>242</v>
      </c>
      <c r="H12" s="18" t="n">
        <v>46304</v>
      </c>
      <c r="I12" s="19" t="s">
        <v>115</v>
      </c>
      <c r="J12" s="17" t="s">
        <v>243</v>
      </c>
      <c r="K12" s="20" t="s">
        <v>117</v>
      </c>
      <c r="L12" s="16" t="s">
        <v>118</v>
      </c>
      <c r="M12" s="20" t="n">
        <v>2</v>
      </c>
      <c r="N12" s="17" t="s">
        <v>244</v>
      </c>
      <c r="O12" s="19" t="s">
        <v>119</v>
      </c>
      <c r="P12" s="21"/>
    </row>
    <row r="13" customFormat="false" ht="32.8" hidden="false" customHeight="false" outlineLevel="0" collapsed="false">
      <c r="A13" s="16" t="s">
        <v>112</v>
      </c>
      <c r="B13" s="16" t="s">
        <v>78</v>
      </c>
      <c r="C13" s="17" t="s">
        <v>79</v>
      </c>
      <c r="D13" s="18" t="n">
        <v>46542</v>
      </c>
      <c r="E13" s="19" t="s">
        <v>70</v>
      </c>
      <c r="F13" s="16" t="s">
        <v>241</v>
      </c>
      <c r="G13" s="17" t="s">
        <v>242</v>
      </c>
      <c r="H13" s="18" t="n">
        <v>46304</v>
      </c>
      <c r="I13" s="19" t="s">
        <v>115</v>
      </c>
      <c r="J13" s="17" t="s">
        <v>245</v>
      </c>
      <c r="K13" s="20" t="s">
        <v>126</v>
      </c>
      <c r="L13" s="16" t="s">
        <v>118</v>
      </c>
      <c r="M13" s="20" t="n">
        <v>3</v>
      </c>
      <c r="N13" s="17" t="s">
        <v>171</v>
      </c>
      <c r="O13" s="19" t="s">
        <v>119</v>
      </c>
      <c r="P13" s="21"/>
    </row>
    <row r="14" customFormat="false" ht="32.8" hidden="false" customHeight="false" outlineLevel="0" collapsed="false">
      <c r="A14" s="16" t="s">
        <v>112</v>
      </c>
      <c r="B14" s="16" t="s">
        <v>78</v>
      </c>
      <c r="C14" s="17" t="s">
        <v>79</v>
      </c>
      <c r="D14" s="18" t="n">
        <v>46542</v>
      </c>
      <c r="E14" s="19" t="s">
        <v>70</v>
      </c>
      <c r="F14" s="16" t="s">
        <v>246</v>
      </c>
      <c r="G14" s="17" t="s">
        <v>247</v>
      </c>
      <c r="H14" s="18" t="n">
        <v>46318</v>
      </c>
      <c r="I14" s="19" t="s">
        <v>115</v>
      </c>
      <c r="J14" s="17" t="s">
        <v>248</v>
      </c>
      <c r="K14" s="20" t="s">
        <v>131</v>
      </c>
      <c r="L14" s="16" t="s">
        <v>118</v>
      </c>
      <c r="M14" s="20" t="n">
        <v>4</v>
      </c>
      <c r="N14" s="17" t="s">
        <v>249</v>
      </c>
      <c r="O14" s="19" t="s">
        <v>119</v>
      </c>
      <c r="P14" s="21"/>
    </row>
    <row r="15" customFormat="false" ht="32.8" hidden="false" customHeight="false" outlineLevel="0" collapsed="false">
      <c r="A15" s="16" t="s">
        <v>112</v>
      </c>
      <c r="B15" s="16" t="s">
        <v>78</v>
      </c>
      <c r="C15" s="17" t="s">
        <v>79</v>
      </c>
      <c r="D15" s="18" t="n">
        <v>46542</v>
      </c>
      <c r="E15" s="19" t="s">
        <v>70</v>
      </c>
      <c r="F15" s="16" t="s">
        <v>246</v>
      </c>
      <c r="G15" s="17" t="s">
        <v>247</v>
      </c>
      <c r="H15" s="18" t="n">
        <v>46318</v>
      </c>
      <c r="I15" s="19" t="s">
        <v>115</v>
      </c>
      <c r="J15" s="17" t="s">
        <v>250</v>
      </c>
      <c r="K15" s="20" t="s">
        <v>131</v>
      </c>
      <c r="L15" s="16" t="s">
        <v>118</v>
      </c>
      <c r="M15" s="20" t="n">
        <v>2</v>
      </c>
      <c r="N15" s="17" t="s">
        <v>251</v>
      </c>
      <c r="O15" s="19" t="s">
        <v>119</v>
      </c>
      <c r="P15" s="21"/>
    </row>
    <row r="16" customFormat="false" ht="32.8" hidden="false" customHeight="false" outlineLevel="0" collapsed="false">
      <c r="A16" s="16" t="s">
        <v>112</v>
      </c>
      <c r="B16" s="16" t="s">
        <v>78</v>
      </c>
      <c r="C16" s="17" t="s">
        <v>79</v>
      </c>
      <c r="D16" s="18" t="n">
        <v>46542</v>
      </c>
      <c r="E16" s="19" t="s">
        <v>70</v>
      </c>
      <c r="F16" s="16" t="s">
        <v>246</v>
      </c>
      <c r="G16" s="17" t="s">
        <v>247</v>
      </c>
      <c r="H16" s="18" t="n">
        <v>46318</v>
      </c>
      <c r="I16" s="19" t="s">
        <v>115</v>
      </c>
      <c r="J16" s="17" t="s">
        <v>252</v>
      </c>
      <c r="K16" s="20" t="s">
        <v>131</v>
      </c>
      <c r="L16" s="16" t="s">
        <v>118</v>
      </c>
      <c r="M16" s="20" t="n">
        <v>1</v>
      </c>
      <c r="N16" s="17" t="s">
        <v>253</v>
      </c>
      <c r="O16" s="19" t="s">
        <v>119</v>
      </c>
      <c r="P16" s="21"/>
    </row>
    <row r="17" customFormat="false" ht="32.8" hidden="false" customHeight="false" outlineLevel="0" collapsed="false">
      <c r="A17" s="16" t="s">
        <v>112</v>
      </c>
      <c r="B17" s="16" t="s">
        <v>78</v>
      </c>
      <c r="C17" s="17" t="s">
        <v>79</v>
      </c>
      <c r="D17" s="18" t="n">
        <v>46542</v>
      </c>
      <c r="E17" s="19" t="s">
        <v>70</v>
      </c>
      <c r="F17" s="16" t="s">
        <v>246</v>
      </c>
      <c r="G17" s="17" t="s">
        <v>247</v>
      </c>
      <c r="H17" s="18" t="n">
        <v>46318</v>
      </c>
      <c r="I17" s="19" t="s">
        <v>115</v>
      </c>
      <c r="J17" s="17" t="s">
        <v>254</v>
      </c>
      <c r="K17" s="20" t="s">
        <v>131</v>
      </c>
      <c r="L17" s="16" t="s">
        <v>118</v>
      </c>
      <c r="M17" s="20" t="n">
        <v>2</v>
      </c>
      <c r="N17" s="17"/>
      <c r="O17" s="19" t="s">
        <v>119</v>
      </c>
      <c r="P17" s="21"/>
    </row>
    <row r="18" customFormat="false" ht="32.8" hidden="false" customHeight="false" outlineLevel="0" collapsed="false">
      <c r="A18" s="16" t="s">
        <v>112</v>
      </c>
      <c r="B18" s="16" t="s">
        <v>78</v>
      </c>
      <c r="C18" s="17" t="s">
        <v>79</v>
      </c>
      <c r="D18" s="18" t="n">
        <v>46542</v>
      </c>
      <c r="E18" s="19" t="s">
        <v>70</v>
      </c>
      <c r="F18" s="16" t="s">
        <v>255</v>
      </c>
      <c r="G18" s="17" t="s">
        <v>256</v>
      </c>
      <c r="H18" s="18" t="n">
        <v>46374</v>
      </c>
      <c r="I18" s="19" t="s">
        <v>115</v>
      </c>
      <c r="J18" s="17" t="s">
        <v>257</v>
      </c>
      <c r="K18" s="20" t="s">
        <v>196</v>
      </c>
      <c r="L18" s="16" t="s">
        <v>118</v>
      </c>
      <c r="M18" s="20" t="n">
        <v>2</v>
      </c>
      <c r="N18" s="17" t="s">
        <v>258</v>
      </c>
      <c r="O18" s="19" t="s">
        <v>119</v>
      </c>
      <c r="P18" s="21"/>
    </row>
    <row r="19" customFormat="false" ht="32.8" hidden="false" customHeight="false" outlineLevel="0" collapsed="false">
      <c r="A19" s="16" t="s">
        <v>112</v>
      </c>
      <c r="B19" s="16" t="s">
        <v>78</v>
      </c>
      <c r="C19" s="17" t="s">
        <v>79</v>
      </c>
      <c r="D19" s="18" t="n">
        <v>46542</v>
      </c>
      <c r="E19" s="19" t="s">
        <v>70</v>
      </c>
      <c r="F19" s="16" t="s">
        <v>255</v>
      </c>
      <c r="G19" s="17" t="s">
        <v>256</v>
      </c>
      <c r="H19" s="18" t="n">
        <v>46374</v>
      </c>
      <c r="I19" s="19" t="s">
        <v>115</v>
      </c>
      <c r="J19" s="17" t="s">
        <v>259</v>
      </c>
      <c r="K19" s="20" t="s">
        <v>196</v>
      </c>
      <c r="L19" s="16" t="s">
        <v>118</v>
      </c>
      <c r="M19" s="20" t="n">
        <v>1</v>
      </c>
      <c r="N19" s="17"/>
      <c r="O19" s="19" t="s">
        <v>119</v>
      </c>
      <c r="P19" s="21"/>
    </row>
    <row r="20" customFormat="false" ht="32.8" hidden="false" customHeight="false" outlineLevel="0" collapsed="false">
      <c r="A20" s="16" t="s">
        <v>112</v>
      </c>
      <c r="B20" s="16" t="s">
        <v>78</v>
      </c>
      <c r="C20" s="17" t="s">
        <v>79</v>
      </c>
      <c r="D20" s="18" t="n">
        <v>46542</v>
      </c>
      <c r="E20" s="19" t="s">
        <v>70</v>
      </c>
      <c r="F20" s="16" t="s">
        <v>255</v>
      </c>
      <c r="G20" s="17" t="s">
        <v>256</v>
      </c>
      <c r="H20" s="18" t="n">
        <v>46374</v>
      </c>
      <c r="I20" s="19" t="s">
        <v>115</v>
      </c>
      <c r="J20" s="17" t="s">
        <v>260</v>
      </c>
      <c r="K20" s="20" t="s">
        <v>261</v>
      </c>
      <c r="L20" s="16" t="s">
        <v>118</v>
      </c>
      <c r="M20" s="20" t="n">
        <v>1</v>
      </c>
      <c r="N20" s="17" t="s">
        <v>262</v>
      </c>
      <c r="O20" s="19" t="s">
        <v>119</v>
      </c>
      <c r="P20" s="21"/>
    </row>
    <row r="21" customFormat="false" ht="32.8" hidden="false" customHeight="false" outlineLevel="0" collapsed="false">
      <c r="A21" s="16" t="s">
        <v>112</v>
      </c>
      <c r="B21" s="16" t="s">
        <v>78</v>
      </c>
      <c r="C21" s="17" t="s">
        <v>79</v>
      </c>
      <c r="D21" s="18" t="n">
        <v>46542</v>
      </c>
      <c r="E21" s="19" t="s">
        <v>70</v>
      </c>
      <c r="F21" s="16" t="s">
        <v>263</v>
      </c>
      <c r="G21" s="17" t="s">
        <v>264</v>
      </c>
      <c r="H21" s="18" t="n">
        <v>46430</v>
      </c>
      <c r="I21" s="19" t="s">
        <v>115</v>
      </c>
      <c r="J21" s="17" t="s">
        <v>265</v>
      </c>
      <c r="K21" s="20" t="s">
        <v>266</v>
      </c>
      <c r="L21" s="16" t="s">
        <v>118</v>
      </c>
      <c r="M21" s="20" t="n">
        <v>3</v>
      </c>
      <c r="N21" s="17" t="s">
        <v>267</v>
      </c>
      <c r="O21" s="19" t="s">
        <v>119</v>
      </c>
      <c r="P21" s="21"/>
    </row>
    <row r="22" customFormat="false" ht="32.8" hidden="false" customHeight="false" outlineLevel="0" collapsed="false">
      <c r="A22" s="16" t="s">
        <v>112</v>
      </c>
      <c r="B22" s="16" t="s">
        <v>78</v>
      </c>
      <c r="C22" s="17" t="s">
        <v>79</v>
      </c>
      <c r="D22" s="18" t="n">
        <v>46542</v>
      </c>
      <c r="E22" s="19" t="s">
        <v>70</v>
      </c>
      <c r="F22" s="16" t="s">
        <v>263</v>
      </c>
      <c r="G22" s="17" t="s">
        <v>264</v>
      </c>
      <c r="H22" s="18" t="n">
        <v>46430</v>
      </c>
      <c r="I22" s="19" t="s">
        <v>115</v>
      </c>
      <c r="J22" s="17" t="s">
        <v>268</v>
      </c>
      <c r="K22" s="20" t="s">
        <v>266</v>
      </c>
      <c r="L22" s="16" t="s">
        <v>118</v>
      </c>
      <c r="M22" s="20" t="n">
        <v>5</v>
      </c>
      <c r="N22" s="17" t="s">
        <v>269</v>
      </c>
      <c r="O22" s="19" t="s">
        <v>119</v>
      </c>
      <c r="P22" s="21"/>
    </row>
    <row r="23" customFormat="false" ht="32.8" hidden="false" customHeight="false" outlineLevel="0" collapsed="false">
      <c r="A23" s="16" t="s">
        <v>112</v>
      </c>
      <c r="B23" s="16" t="s">
        <v>78</v>
      </c>
      <c r="C23" s="17" t="s">
        <v>79</v>
      </c>
      <c r="D23" s="18" t="n">
        <v>46542</v>
      </c>
      <c r="E23" s="19" t="s">
        <v>70</v>
      </c>
      <c r="F23" s="16" t="s">
        <v>263</v>
      </c>
      <c r="G23" s="17" t="s">
        <v>264</v>
      </c>
      <c r="H23" s="18" t="n">
        <v>46430</v>
      </c>
      <c r="I23" s="19" t="s">
        <v>115</v>
      </c>
      <c r="J23" s="17" t="s">
        <v>270</v>
      </c>
      <c r="K23" s="20" t="s">
        <v>271</v>
      </c>
      <c r="L23" s="16" t="s">
        <v>118</v>
      </c>
      <c r="M23" s="20" t="n">
        <v>5</v>
      </c>
      <c r="N23" s="17" t="s">
        <v>263</v>
      </c>
      <c r="O23" s="19" t="s">
        <v>119</v>
      </c>
      <c r="P23" s="21"/>
    </row>
    <row r="24" customFormat="false" ht="32.8" hidden="false" customHeight="false" outlineLevel="0" collapsed="false">
      <c r="A24" s="16" t="s">
        <v>112</v>
      </c>
      <c r="B24" s="16" t="s">
        <v>78</v>
      </c>
      <c r="C24" s="17" t="s">
        <v>79</v>
      </c>
      <c r="D24" s="18" t="n">
        <v>46542</v>
      </c>
      <c r="E24" s="19" t="s">
        <v>70</v>
      </c>
      <c r="F24" s="16" t="s">
        <v>272</v>
      </c>
      <c r="G24" s="17" t="s">
        <v>273</v>
      </c>
      <c r="H24" s="18" t="n">
        <v>46542</v>
      </c>
      <c r="I24" s="19" t="s">
        <v>115</v>
      </c>
      <c r="J24" s="17" t="s">
        <v>274</v>
      </c>
      <c r="K24" s="20" t="s">
        <v>271</v>
      </c>
      <c r="L24" s="16" t="s">
        <v>118</v>
      </c>
      <c r="M24" s="20" t="n">
        <v>4</v>
      </c>
      <c r="N24" s="17" t="s">
        <v>275</v>
      </c>
      <c r="O24" s="19" t="s">
        <v>119</v>
      </c>
      <c r="P24" s="21"/>
    </row>
    <row r="25" customFormat="false" ht="32.8" hidden="false" customHeight="false" outlineLevel="0" collapsed="false">
      <c r="A25" s="16" t="s">
        <v>112</v>
      </c>
      <c r="B25" s="16" t="s">
        <v>78</v>
      </c>
      <c r="C25" s="17" t="s">
        <v>79</v>
      </c>
      <c r="D25" s="18" t="n">
        <v>46542</v>
      </c>
      <c r="E25" s="19" t="s">
        <v>70</v>
      </c>
      <c r="F25" s="16" t="s">
        <v>272</v>
      </c>
      <c r="G25" s="17" t="s">
        <v>273</v>
      </c>
      <c r="H25" s="18" t="n">
        <v>46542</v>
      </c>
      <c r="I25" s="19" t="s">
        <v>115</v>
      </c>
      <c r="J25" s="17" t="s">
        <v>276</v>
      </c>
      <c r="K25" s="20" t="s">
        <v>277</v>
      </c>
      <c r="L25" s="16" t="s">
        <v>118</v>
      </c>
      <c r="M25" s="20" t="n">
        <v>2</v>
      </c>
      <c r="N25" s="17" t="s">
        <v>278</v>
      </c>
      <c r="O25" s="19" t="s">
        <v>119</v>
      </c>
      <c r="P25" s="21"/>
    </row>
  </sheetData>
  <autoFilter ref="A3:P25"/>
  <mergeCells count="1">
    <mergeCell ref="A1:L1"/>
  </mergeCells>
  <dataValidations count="3">
    <dataValidation allowBlank="true" errorStyle="stop" operator="between" showDropDown="false" showErrorMessage="false" showInputMessage="false" sqref="O4:O25" type="list">
      <formula1>"Backlog,To do,In progress,Blocked,Done"</formula1>
      <formula2>0</formula2>
    </dataValidation>
    <dataValidation allowBlank="true" errorStyle="stop" operator="between" showDropDown="false" showErrorMessage="false" showInputMessage="false" sqref="I4:I25" type="list">
      <formula1>"Não iniciado,Em curso,Feito"</formula1>
      <formula2>0</formula2>
    </dataValidation>
    <dataValidation allowBlank="true" errorStyle="stop" operator="between" showDropDown="false" showErrorMessage="false" showInputMessage="false" sqref="E4:E25" type="list">
      <formula1>"Não iniciada,Em curso,Feita"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5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21.7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1.5" hidden="false" customHeight="true" outlineLevel="0" collapsed="false">
      <c r="A3" s="27" t="s">
        <v>2</v>
      </c>
      <c r="B3" s="27" t="s">
        <v>4</v>
      </c>
      <c r="C3" s="27" t="s">
        <v>13</v>
      </c>
      <c r="D3" s="27" t="s">
        <v>61</v>
      </c>
      <c r="E3" s="27" t="s">
        <v>62</v>
      </c>
      <c r="F3" s="27" t="s">
        <v>6</v>
      </c>
      <c r="G3" s="27" t="s">
        <v>106</v>
      </c>
      <c r="H3" s="27" t="s">
        <v>107</v>
      </c>
      <c r="I3" s="27" t="s">
        <v>108</v>
      </c>
      <c r="J3" s="27" t="s">
        <v>8</v>
      </c>
      <c r="K3" s="27" t="s">
        <v>39</v>
      </c>
      <c r="L3" s="27" t="s">
        <v>109</v>
      </c>
      <c r="M3" s="27" t="s">
        <v>110</v>
      </c>
      <c r="N3" s="27" t="s">
        <v>43</v>
      </c>
      <c r="O3" s="27" t="s">
        <v>111</v>
      </c>
      <c r="P3" s="27" t="s">
        <v>45</v>
      </c>
    </row>
    <row r="4" customFormat="false" ht="32.8" hidden="false" customHeight="false" outlineLevel="0" collapsed="false">
      <c r="A4" s="22" t="s">
        <v>112</v>
      </c>
      <c r="B4" s="22" t="s">
        <v>81</v>
      </c>
      <c r="C4" s="17" t="s">
        <v>82</v>
      </c>
      <c r="D4" s="18" t="n">
        <v>46444</v>
      </c>
      <c r="E4" s="19" t="s">
        <v>70</v>
      </c>
      <c r="F4" s="22" t="s">
        <v>279</v>
      </c>
      <c r="G4" s="17" t="s">
        <v>280</v>
      </c>
      <c r="H4" s="18" t="n">
        <v>46290</v>
      </c>
      <c r="I4" s="19" t="s">
        <v>224</v>
      </c>
      <c r="J4" s="23" t="s">
        <v>281</v>
      </c>
      <c r="K4" s="20" t="s">
        <v>141</v>
      </c>
      <c r="L4" s="16" t="s">
        <v>118</v>
      </c>
      <c r="M4" s="20" t="n">
        <v>2</v>
      </c>
      <c r="N4" s="17"/>
      <c r="O4" s="19" t="s">
        <v>142</v>
      </c>
      <c r="P4" s="21"/>
    </row>
    <row r="5" customFormat="false" ht="32.8" hidden="false" customHeight="false" outlineLevel="0" collapsed="false">
      <c r="A5" s="22" t="s">
        <v>112</v>
      </c>
      <c r="B5" s="22" t="s">
        <v>81</v>
      </c>
      <c r="C5" s="17" t="s">
        <v>82</v>
      </c>
      <c r="D5" s="18" t="n">
        <v>46444</v>
      </c>
      <c r="E5" s="19" t="s">
        <v>70</v>
      </c>
      <c r="F5" s="22" t="s">
        <v>279</v>
      </c>
      <c r="G5" s="17" t="s">
        <v>280</v>
      </c>
      <c r="H5" s="18" t="n">
        <v>46290</v>
      </c>
      <c r="I5" s="19" t="s">
        <v>224</v>
      </c>
      <c r="J5" s="23" t="s">
        <v>282</v>
      </c>
      <c r="K5" s="20" t="s">
        <v>145</v>
      </c>
      <c r="L5" s="16" t="s">
        <v>118</v>
      </c>
      <c r="M5" s="20" t="n">
        <v>2</v>
      </c>
      <c r="N5" s="17" t="s">
        <v>283</v>
      </c>
      <c r="O5" s="19" t="s">
        <v>142</v>
      </c>
      <c r="P5" s="21"/>
    </row>
    <row r="6" customFormat="false" ht="32.8" hidden="false" customHeight="false" outlineLevel="0" collapsed="false">
      <c r="A6" s="16" t="s">
        <v>112</v>
      </c>
      <c r="B6" s="16" t="s">
        <v>81</v>
      </c>
      <c r="C6" s="17" t="s">
        <v>82</v>
      </c>
      <c r="D6" s="18" t="n">
        <v>46444</v>
      </c>
      <c r="E6" s="19" t="s">
        <v>70</v>
      </c>
      <c r="F6" s="16" t="s">
        <v>279</v>
      </c>
      <c r="G6" s="17" t="s">
        <v>280</v>
      </c>
      <c r="H6" s="18" t="n">
        <v>46290</v>
      </c>
      <c r="I6" s="19" t="s">
        <v>224</v>
      </c>
      <c r="J6" s="17" t="s">
        <v>284</v>
      </c>
      <c r="K6" s="20" t="s">
        <v>117</v>
      </c>
      <c r="L6" s="16" t="s">
        <v>118</v>
      </c>
      <c r="M6" s="20" t="n">
        <v>2</v>
      </c>
      <c r="N6" s="17" t="s">
        <v>285</v>
      </c>
      <c r="O6" s="19" t="s">
        <v>226</v>
      </c>
      <c r="P6" s="21"/>
    </row>
    <row r="7" customFormat="false" ht="32.8" hidden="false" customHeight="false" outlineLevel="0" collapsed="false">
      <c r="A7" s="16" t="s">
        <v>112</v>
      </c>
      <c r="B7" s="16" t="s">
        <v>81</v>
      </c>
      <c r="C7" s="17" t="s">
        <v>82</v>
      </c>
      <c r="D7" s="18" t="n">
        <v>46444</v>
      </c>
      <c r="E7" s="19" t="s">
        <v>70</v>
      </c>
      <c r="F7" s="16" t="s">
        <v>279</v>
      </c>
      <c r="G7" s="17" t="s">
        <v>280</v>
      </c>
      <c r="H7" s="18" t="n">
        <v>46290</v>
      </c>
      <c r="I7" s="19" t="s">
        <v>224</v>
      </c>
      <c r="J7" s="17" t="s">
        <v>286</v>
      </c>
      <c r="K7" s="20" t="s">
        <v>117</v>
      </c>
      <c r="L7" s="16" t="s">
        <v>118</v>
      </c>
      <c r="M7" s="20" t="n">
        <v>4</v>
      </c>
      <c r="N7" s="17" t="s">
        <v>287</v>
      </c>
      <c r="O7" s="19" t="s">
        <v>119</v>
      </c>
      <c r="P7" s="21"/>
    </row>
    <row r="8" customFormat="false" ht="32.8" hidden="false" customHeight="false" outlineLevel="0" collapsed="false">
      <c r="A8" s="16" t="s">
        <v>112</v>
      </c>
      <c r="B8" s="16" t="s">
        <v>81</v>
      </c>
      <c r="C8" s="17" t="s">
        <v>82</v>
      </c>
      <c r="D8" s="18" t="n">
        <v>46444</v>
      </c>
      <c r="E8" s="19" t="s">
        <v>70</v>
      </c>
      <c r="F8" s="16" t="s">
        <v>279</v>
      </c>
      <c r="G8" s="17" t="s">
        <v>280</v>
      </c>
      <c r="H8" s="18" t="n">
        <v>46290</v>
      </c>
      <c r="I8" s="19" t="s">
        <v>224</v>
      </c>
      <c r="J8" s="17" t="s">
        <v>288</v>
      </c>
      <c r="K8" s="20" t="s">
        <v>123</v>
      </c>
      <c r="L8" s="16" t="s">
        <v>118</v>
      </c>
      <c r="M8" s="20" t="n">
        <v>3</v>
      </c>
      <c r="N8" s="17" t="s">
        <v>289</v>
      </c>
      <c r="O8" s="19" t="s">
        <v>119</v>
      </c>
      <c r="P8" s="21"/>
    </row>
    <row r="9" customFormat="false" ht="32.8" hidden="false" customHeight="false" outlineLevel="0" collapsed="false">
      <c r="A9" s="16" t="s">
        <v>112</v>
      </c>
      <c r="B9" s="16" t="s">
        <v>81</v>
      </c>
      <c r="C9" s="17" t="s">
        <v>82</v>
      </c>
      <c r="D9" s="18" t="n">
        <v>46444</v>
      </c>
      <c r="E9" s="19" t="s">
        <v>70</v>
      </c>
      <c r="F9" s="16" t="s">
        <v>279</v>
      </c>
      <c r="G9" s="17" t="s">
        <v>280</v>
      </c>
      <c r="H9" s="18" t="n">
        <v>46290</v>
      </c>
      <c r="I9" s="19" t="s">
        <v>224</v>
      </c>
      <c r="J9" s="17" t="s">
        <v>290</v>
      </c>
      <c r="K9" s="20" t="s">
        <v>123</v>
      </c>
      <c r="L9" s="16" t="s">
        <v>118</v>
      </c>
      <c r="M9" s="20" t="n">
        <v>1</v>
      </c>
      <c r="N9" s="17" t="s">
        <v>291</v>
      </c>
      <c r="O9" s="19" t="s">
        <v>119</v>
      </c>
      <c r="P9" s="21"/>
    </row>
    <row r="10" customFormat="false" ht="32.8" hidden="false" customHeight="false" outlineLevel="0" collapsed="false">
      <c r="A10" s="16" t="s">
        <v>112</v>
      </c>
      <c r="B10" s="16" t="s">
        <v>81</v>
      </c>
      <c r="C10" s="17" t="s">
        <v>82</v>
      </c>
      <c r="D10" s="18" t="n">
        <v>46444</v>
      </c>
      <c r="E10" s="19" t="s">
        <v>70</v>
      </c>
      <c r="F10" s="16" t="s">
        <v>279</v>
      </c>
      <c r="G10" s="17" t="s">
        <v>280</v>
      </c>
      <c r="H10" s="18" t="n">
        <v>46290</v>
      </c>
      <c r="I10" s="19" t="s">
        <v>224</v>
      </c>
      <c r="J10" s="17" t="s">
        <v>292</v>
      </c>
      <c r="K10" s="20" t="s">
        <v>123</v>
      </c>
      <c r="L10" s="16" t="s">
        <v>118</v>
      </c>
      <c r="M10" s="20" t="n">
        <v>1</v>
      </c>
      <c r="N10" s="17" t="s">
        <v>293</v>
      </c>
      <c r="O10" s="19" t="s">
        <v>119</v>
      </c>
      <c r="P10" s="21"/>
    </row>
    <row r="11" customFormat="false" ht="32.8" hidden="false" customHeight="false" outlineLevel="0" collapsed="false">
      <c r="A11" s="16" t="s">
        <v>112</v>
      </c>
      <c r="B11" s="16" t="s">
        <v>81</v>
      </c>
      <c r="C11" s="17" t="s">
        <v>82</v>
      </c>
      <c r="D11" s="18" t="n">
        <v>46444</v>
      </c>
      <c r="E11" s="19" t="s">
        <v>70</v>
      </c>
      <c r="F11" s="16" t="s">
        <v>294</v>
      </c>
      <c r="G11" s="17" t="s">
        <v>295</v>
      </c>
      <c r="H11" s="18" t="n">
        <v>46332</v>
      </c>
      <c r="I11" s="19" t="s">
        <v>115</v>
      </c>
      <c r="J11" s="17" t="s">
        <v>296</v>
      </c>
      <c r="K11" s="20" t="s">
        <v>117</v>
      </c>
      <c r="L11" s="16" t="s">
        <v>118</v>
      </c>
      <c r="M11" s="20" t="n">
        <v>1</v>
      </c>
      <c r="N11" s="17"/>
      <c r="O11" s="19" t="s">
        <v>119</v>
      </c>
      <c r="P11" s="21"/>
    </row>
    <row r="12" customFormat="false" ht="32.8" hidden="false" customHeight="false" outlineLevel="0" collapsed="false">
      <c r="A12" s="16" t="s">
        <v>112</v>
      </c>
      <c r="B12" s="16" t="s">
        <v>81</v>
      </c>
      <c r="C12" s="17" t="s">
        <v>82</v>
      </c>
      <c r="D12" s="18" t="n">
        <v>46444</v>
      </c>
      <c r="E12" s="19" t="s">
        <v>70</v>
      </c>
      <c r="F12" s="16" t="s">
        <v>294</v>
      </c>
      <c r="G12" s="17" t="s">
        <v>295</v>
      </c>
      <c r="H12" s="18" t="n">
        <v>46332</v>
      </c>
      <c r="I12" s="19" t="s">
        <v>115</v>
      </c>
      <c r="J12" s="17" t="s">
        <v>297</v>
      </c>
      <c r="K12" s="20" t="s">
        <v>123</v>
      </c>
      <c r="L12" s="16" t="s">
        <v>118</v>
      </c>
      <c r="M12" s="20" t="n">
        <v>3</v>
      </c>
      <c r="N12" s="17" t="s">
        <v>291</v>
      </c>
      <c r="O12" s="19" t="s">
        <v>119</v>
      </c>
      <c r="P12" s="21"/>
    </row>
    <row r="13" customFormat="false" ht="32.8" hidden="false" customHeight="false" outlineLevel="0" collapsed="false">
      <c r="A13" s="16" t="s">
        <v>112</v>
      </c>
      <c r="B13" s="16" t="s">
        <v>81</v>
      </c>
      <c r="C13" s="17" t="s">
        <v>82</v>
      </c>
      <c r="D13" s="18" t="n">
        <v>46444</v>
      </c>
      <c r="E13" s="19" t="s">
        <v>70</v>
      </c>
      <c r="F13" s="16" t="s">
        <v>294</v>
      </c>
      <c r="G13" s="17" t="s">
        <v>295</v>
      </c>
      <c r="H13" s="18" t="n">
        <v>46332</v>
      </c>
      <c r="I13" s="19" t="s">
        <v>115</v>
      </c>
      <c r="J13" s="17" t="s">
        <v>298</v>
      </c>
      <c r="K13" s="20" t="s">
        <v>126</v>
      </c>
      <c r="L13" s="16" t="s">
        <v>118</v>
      </c>
      <c r="M13" s="20" t="n">
        <v>5</v>
      </c>
      <c r="N13" s="17" t="s">
        <v>299</v>
      </c>
      <c r="O13" s="19" t="s">
        <v>119</v>
      </c>
      <c r="P13" s="21"/>
    </row>
    <row r="14" customFormat="false" ht="32.8" hidden="false" customHeight="false" outlineLevel="0" collapsed="false">
      <c r="A14" s="16" t="s">
        <v>112</v>
      </c>
      <c r="B14" s="16" t="s">
        <v>81</v>
      </c>
      <c r="C14" s="17" t="s">
        <v>82</v>
      </c>
      <c r="D14" s="18" t="n">
        <v>46444</v>
      </c>
      <c r="E14" s="19" t="s">
        <v>70</v>
      </c>
      <c r="F14" s="16" t="s">
        <v>294</v>
      </c>
      <c r="G14" s="17" t="s">
        <v>295</v>
      </c>
      <c r="H14" s="18" t="n">
        <v>46332</v>
      </c>
      <c r="I14" s="19" t="s">
        <v>115</v>
      </c>
      <c r="J14" s="17" t="s">
        <v>300</v>
      </c>
      <c r="K14" s="20" t="s">
        <v>131</v>
      </c>
      <c r="L14" s="16" t="s">
        <v>118</v>
      </c>
      <c r="M14" s="20" t="n">
        <v>2</v>
      </c>
      <c r="N14" s="17" t="s">
        <v>301</v>
      </c>
      <c r="O14" s="19" t="s">
        <v>119</v>
      </c>
      <c r="P14" s="21"/>
    </row>
    <row r="15" customFormat="false" ht="32.8" hidden="false" customHeight="false" outlineLevel="0" collapsed="false">
      <c r="A15" s="16" t="s">
        <v>112</v>
      </c>
      <c r="B15" s="16" t="s">
        <v>81</v>
      </c>
      <c r="C15" s="17" t="s">
        <v>82</v>
      </c>
      <c r="D15" s="18" t="n">
        <v>46444</v>
      </c>
      <c r="E15" s="19" t="s">
        <v>70</v>
      </c>
      <c r="F15" s="16" t="s">
        <v>294</v>
      </c>
      <c r="G15" s="17" t="s">
        <v>295</v>
      </c>
      <c r="H15" s="18" t="n">
        <v>46332</v>
      </c>
      <c r="I15" s="19" t="s">
        <v>115</v>
      </c>
      <c r="J15" s="17" t="s">
        <v>302</v>
      </c>
      <c r="K15" s="20" t="s">
        <v>131</v>
      </c>
      <c r="L15" s="16" t="s">
        <v>118</v>
      </c>
      <c r="M15" s="20" t="n">
        <v>3</v>
      </c>
      <c r="N15" s="17" t="s">
        <v>303</v>
      </c>
      <c r="O15" s="19" t="s">
        <v>119</v>
      </c>
      <c r="P15" s="21"/>
    </row>
    <row r="16" customFormat="false" ht="32.8" hidden="false" customHeight="false" outlineLevel="0" collapsed="false">
      <c r="A16" s="16" t="s">
        <v>112</v>
      </c>
      <c r="B16" s="16" t="s">
        <v>81</v>
      </c>
      <c r="C16" s="17" t="s">
        <v>82</v>
      </c>
      <c r="D16" s="18" t="n">
        <v>46444</v>
      </c>
      <c r="E16" s="19" t="s">
        <v>70</v>
      </c>
      <c r="F16" s="16" t="s">
        <v>294</v>
      </c>
      <c r="G16" s="17" t="s">
        <v>295</v>
      </c>
      <c r="H16" s="18" t="n">
        <v>46332</v>
      </c>
      <c r="I16" s="19" t="s">
        <v>115</v>
      </c>
      <c r="J16" s="17" t="s">
        <v>304</v>
      </c>
      <c r="K16" s="20" t="s">
        <v>196</v>
      </c>
      <c r="L16" s="16" t="s">
        <v>118</v>
      </c>
      <c r="M16" s="20" t="n">
        <v>2</v>
      </c>
      <c r="N16" s="17" t="s">
        <v>305</v>
      </c>
      <c r="O16" s="19" t="s">
        <v>119</v>
      </c>
      <c r="P16" s="21"/>
    </row>
    <row r="17" customFormat="false" ht="32.8" hidden="false" customHeight="false" outlineLevel="0" collapsed="false">
      <c r="A17" s="16" t="s">
        <v>112</v>
      </c>
      <c r="B17" s="16" t="s">
        <v>81</v>
      </c>
      <c r="C17" s="17" t="s">
        <v>82</v>
      </c>
      <c r="D17" s="18" t="n">
        <v>46444</v>
      </c>
      <c r="E17" s="19" t="s">
        <v>70</v>
      </c>
      <c r="F17" s="16" t="s">
        <v>306</v>
      </c>
      <c r="G17" s="17" t="s">
        <v>307</v>
      </c>
      <c r="H17" s="18" t="n">
        <v>46430</v>
      </c>
      <c r="I17" s="19" t="s">
        <v>115</v>
      </c>
      <c r="J17" s="17" t="s">
        <v>308</v>
      </c>
      <c r="K17" s="20" t="s">
        <v>261</v>
      </c>
      <c r="L17" s="16" t="s">
        <v>118</v>
      </c>
      <c r="M17" s="20" t="n">
        <v>1</v>
      </c>
      <c r="N17" s="17" t="s">
        <v>293</v>
      </c>
      <c r="O17" s="19" t="s">
        <v>119</v>
      </c>
      <c r="P17" s="21"/>
    </row>
    <row r="18" customFormat="false" ht="32.8" hidden="false" customHeight="false" outlineLevel="0" collapsed="false">
      <c r="A18" s="16" t="s">
        <v>112</v>
      </c>
      <c r="B18" s="16" t="s">
        <v>81</v>
      </c>
      <c r="C18" s="17" t="s">
        <v>82</v>
      </c>
      <c r="D18" s="18" t="n">
        <v>46444</v>
      </c>
      <c r="E18" s="19" t="s">
        <v>70</v>
      </c>
      <c r="F18" s="16" t="s">
        <v>306</v>
      </c>
      <c r="G18" s="17" t="s">
        <v>307</v>
      </c>
      <c r="H18" s="18" t="n">
        <v>46430</v>
      </c>
      <c r="I18" s="19" t="s">
        <v>115</v>
      </c>
      <c r="J18" s="17" t="s">
        <v>309</v>
      </c>
      <c r="K18" s="20" t="s">
        <v>261</v>
      </c>
      <c r="L18" s="16" t="s">
        <v>118</v>
      </c>
      <c r="M18" s="20" t="n">
        <v>2</v>
      </c>
      <c r="N18" s="17" t="s">
        <v>240</v>
      </c>
      <c r="O18" s="19" t="s">
        <v>119</v>
      </c>
      <c r="P18" s="21"/>
    </row>
    <row r="19" customFormat="false" ht="32.8" hidden="false" customHeight="false" outlineLevel="0" collapsed="false">
      <c r="A19" s="16" t="s">
        <v>112</v>
      </c>
      <c r="B19" s="16" t="s">
        <v>81</v>
      </c>
      <c r="C19" s="17" t="s">
        <v>82</v>
      </c>
      <c r="D19" s="18" t="n">
        <v>46444</v>
      </c>
      <c r="E19" s="19" t="s">
        <v>70</v>
      </c>
      <c r="F19" s="16" t="s">
        <v>306</v>
      </c>
      <c r="G19" s="17" t="s">
        <v>307</v>
      </c>
      <c r="H19" s="18" t="n">
        <v>46430</v>
      </c>
      <c r="I19" s="19" t="s">
        <v>115</v>
      </c>
      <c r="J19" s="17" t="s">
        <v>310</v>
      </c>
      <c r="K19" s="20" t="s">
        <v>311</v>
      </c>
      <c r="L19" s="16" t="s">
        <v>118</v>
      </c>
      <c r="M19" s="20" t="n">
        <v>2</v>
      </c>
      <c r="N19" s="17" t="s">
        <v>312</v>
      </c>
      <c r="O19" s="19" t="s">
        <v>119</v>
      </c>
      <c r="P19" s="21"/>
    </row>
    <row r="20" customFormat="false" ht="32.8" hidden="false" customHeight="false" outlineLevel="0" collapsed="false">
      <c r="A20" s="16" t="s">
        <v>112</v>
      </c>
      <c r="B20" s="16" t="s">
        <v>81</v>
      </c>
      <c r="C20" s="17" t="s">
        <v>82</v>
      </c>
      <c r="D20" s="18" t="n">
        <v>46444</v>
      </c>
      <c r="E20" s="19" t="s">
        <v>70</v>
      </c>
      <c r="F20" s="16" t="s">
        <v>306</v>
      </c>
      <c r="G20" s="17" t="s">
        <v>307</v>
      </c>
      <c r="H20" s="18" t="n">
        <v>46430</v>
      </c>
      <c r="I20" s="19" t="s">
        <v>115</v>
      </c>
      <c r="J20" s="17" t="s">
        <v>313</v>
      </c>
      <c r="K20" s="20" t="s">
        <v>271</v>
      </c>
      <c r="L20" s="16" t="s">
        <v>118</v>
      </c>
      <c r="M20" s="20" t="n">
        <v>3</v>
      </c>
      <c r="N20" s="17" t="s">
        <v>314</v>
      </c>
      <c r="O20" s="19" t="s">
        <v>119</v>
      </c>
      <c r="P20" s="21"/>
    </row>
    <row r="21" customFormat="false" ht="32.8" hidden="false" customHeight="false" outlineLevel="0" collapsed="false">
      <c r="A21" s="16" t="s">
        <v>112</v>
      </c>
      <c r="B21" s="16" t="s">
        <v>81</v>
      </c>
      <c r="C21" s="17" t="s">
        <v>82</v>
      </c>
      <c r="D21" s="18" t="n">
        <v>46444</v>
      </c>
      <c r="E21" s="19" t="s">
        <v>70</v>
      </c>
      <c r="F21" s="16" t="s">
        <v>315</v>
      </c>
      <c r="G21" s="17" t="s">
        <v>316</v>
      </c>
      <c r="H21" s="18" t="n">
        <v>46346</v>
      </c>
      <c r="I21" s="19" t="s">
        <v>115</v>
      </c>
      <c r="J21" s="17" t="s">
        <v>317</v>
      </c>
      <c r="K21" s="20" t="s">
        <v>123</v>
      </c>
      <c r="L21" s="16" t="s">
        <v>118</v>
      </c>
      <c r="M21" s="20" t="n">
        <v>2</v>
      </c>
      <c r="N21" s="17"/>
      <c r="O21" s="19" t="s">
        <v>119</v>
      </c>
      <c r="P21" s="21"/>
    </row>
    <row r="22" customFormat="false" ht="32.8" hidden="false" customHeight="false" outlineLevel="0" collapsed="false">
      <c r="A22" s="16" t="s">
        <v>112</v>
      </c>
      <c r="B22" s="16" t="s">
        <v>81</v>
      </c>
      <c r="C22" s="17" t="s">
        <v>82</v>
      </c>
      <c r="D22" s="18" t="n">
        <v>46444</v>
      </c>
      <c r="E22" s="19" t="s">
        <v>70</v>
      </c>
      <c r="F22" s="16" t="s">
        <v>315</v>
      </c>
      <c r="G22" s="17" t="s">
        <v>316</v>
      </c>
      <c r="H22" s="18" t="n">
        <v>46346</v>
      </c>
      <c r="I22" s="19" t="s">
        <v>115</v>
      </c>
      <c r="J22" s="17" t="s">
        <v>318</v>
      </c>
      <c r="K22" s="20" t="s">
        <v>220</v>
      </c>
      <c r="L22" s="16" t="s">
        <v>118</v>
      </c>
      <c r="M22" s="20" t="n">
        <v>1</v>
      </c>
      <c r="N22" s="17" t="s">
        <v>319</v>
      </c>
      <c r="O22" s="19" t="s">
        <v>119</v>
      </c>
      <c r="P22" s="21"/>
    </row>
    <row r="23" customFormat="false" ht="32.8" hidden="false" customHeight="false" outlineLevel="0" collapsed="false">
      <c r="A23" s="16" t="s">
        <v>112</v>
      </c>
      <c r="B23" s="16" t="s">
        <v>81</v>
      </c>
      <c r="C23" s="17" t="s">
        <v>82</v>
      </c>
      <c r="D23" s="18" t="n">
        <v>46444</v>
      </c>
      <c r="E23" s="19" t="s">
        <v>70</v>
      </c>
      <c r="F23" s="16"/>
      <c r="G23" s="17"/>
      <c r="H23" s="18"/>
      <c r="I23" s="19"/>
      <c r="J23" s="17" t="s">
        <v>320</v>
      </c>
      <c r="K23" s="20" t="s">
        <v>277</v>
      </c>
      <c r="L23" s="16" t="s">
        <v>118</v>
      </c>
      <c r="M23" s="20" t="n">
        <v>1</v>
      </c>
      <c r="N23" s="17" t="s">
        <v>321</v>
      </c>
      <c r="O23" s="19" t="s">
        <v>119</v>
      </c>
      <c r="P23" s="21"/>
    </row>
  </sheetData>
  <autoFilter ref="A3:P23"/>
  <mergeCells count="1">
    <mergeCell ref="A1:L1"/>
  </mergeCells>
  <dataValidations count="3">
    <dataValidation allowBlank="true" errorStyle="stop" operator="between" showDropDown="false" showErrorMessage="false" showInputMessage="false" sqref="O4:O23" type="list">
      <formula1>"Backlog,To do,In progress,Blocked,Done"</formula1>
      <formula2>0</formula2>
    </dataValidation>
    <dataValidation allowBlank="true" errorStyle="stop" operator="between" showDropDown="false" showErrorMessage="false" showInputMessage="false" sqref="I4:I23" type="list">
      <formula1>"Não iniciado,Em curso,Feito"</formula1>
      <formula2>0</formula2>
    </dataValidation>
    <dataValidation allowBlank="true" errorStyle="stop" operator="between" showDropDown="false" showErrorMessage="false" showInputMessage="false" sqref="E4:E23" type="list">
      <formula1>"Não iniciada,Em curso,Feita"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5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21.75" hidden="false" customHeight="true" outlineLevel="0" collapsed="false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1.5" hidden="false" customHeight="true" outlineLevel="0" collapsed="false">
      <c r="A3" s="27" t="s">
        <v>2</v>
      </c>
      <c r="B3" s="27" t="s">
        <v>4</v>
      </c>
      <c r="C3" s="27" t="s">
        <v>13</v>
      </c>
      <c r="D3" s="27" t="s">
        <v>61</v>
      </c>
      <c r="E3" s="27" t="s">
        <v>62</v>
      </c>
      <c r="F3" s="27" t="s">
        <v>6</v>
      </c>
      <c r="G3" s="27" t="s">
        <v>106</v>
      </c>
      <c r="H3" s="27" t="s">
        <v>107</v>
      </c>
      <c r="I3" s="27" t="s">
        <v>108</v>
      </c>
      <c r="J3" s="27" t="s">
        <v>8</v>
      </c>
      <c r="K3" s="27" t="s">
        <v>39</v>
      </c>
      <c r="L3" s="27" t="s">
        <v>109</v>
      </c>
      <c r="M3" s="27" t="s">
        <v>110</v>
      </c>
      <c r="N3" s="27" t="s">
        <v>43</v>
      </c>
      <c r="O3" s="27" t="s">
        <v>111</v>
      </c>
      <c r="P3" s="27" t="s">
        <v>45</v>
      </c>
    </row>
    <row r="4" customFormat="false" ht="32.8" hidden="false" customHeight="false" outlineLevel="0" collapsed="false">
      <c r="A4" s="16" t="s">
        <v>112</v>
      </c>
      <c r="B4" s="16" t="s">
        <v>84</v>
      </c>
      <c r="C4" s="17" t="s">
        <v>85</v>
      </c>
      <c r="D4" s="18" t="n">
        <v>46444</v>
      </c>
      <c r="E4" s="19" t="s">
        <v>70</v>
      </c>
      <c r="F4" s="16" t="s">
        <v>322</v>
      </c>
      <c r="G4" s="17" t="s">
        <v>323</v>
      </c>
      <c r="H4" s="18" t="n">
        <v>46304</v>
      </c>
      <c r="I4" s="19" t="s">
        <v>115</v>
      </c>
      <c r="J4" s="17" t="s">
        <v>324</v>
      </c>
      <c r="K4" s="20" t="s">
        <v>126</v>
      </c>
      <c r="L4" s="16" t="s">
        <v>118</v>
      </c>
      <c r="M4" s="20" t="n">
        <v>2</v>
      </c>
      <c r="N4" s="17"/>
      <c r="O4" s="19" t="s">
        <v>119</v>
      </c>
      <c r="P4" s="21"/>
    </row>
    <row r="5" customFormat="false" ht="32.8" hidden="false" customHeight="false" outlineLevel="0" collapsed="false">
      <c r="A5" s="16" t="s">
        <v>112</v>
      </c>
      <c r="B5" s="16" t="s">
        <v>84</v>
      </c>
      <c r="C5" s="17" t="s">
        <v>85</v>
      </c>
      <c r="D5" s="18" t="n">
        <v>46444</v>
      </c>
      <c r="E5" s="19" t="s">
        <v>70</v>
      </c>
      <c r="F5" s="16" t="s">
        <v>322</v>
      </c>
      <c r="G5" s="17" t="s">
        <v>323</v>
      </c>
      <c r="H5" s="18" t="n">
        <v>46304</v>
      </c>
      <c r="I5" s="19" t="s">
        <v>115</v>
      </c>
      <c r="J5" s="17" t="s">
        <v>325</v>
      </c>
      <c r="K5" s="20" t="s">
        <v>126</v>
      </c>
      <c r="L5" s="16" t="s">
        <v>118</v>
      </c>
      <c r="M5" s="20" t="n">
        <v>2</v>
      </c>
      <c r="N5" s="17"/>
      <c r="O5" s="19" t="s">
        <v>119</v>
      </c>
      <c r="P5" s="21"/>
    </row>
    <row r="6" customFormat="false" ht="32.8" hidden="false" customHeight="false" outlineLevel="0" collapsed="false">
      <c r="A6" s="16" t="s">
        <v>112</v>
      </c>
      <c r="B6" s="16" t="s">
        <v>84</v>
      </c>
      <c r="C6" s="17" t="s">
        <v>85</v>
      </c>
      <c r="D6" s="18" t="n">
        <v>46444</v>
      </c>
      <c r="E6" s="19" t="s">
        <v>70</v>
      </c>
      <c r="F6" s="16" t="s">
        <v>322</v>
      </c>
      <c r="G6" s="17" t="s">
        <v>323</v>
      </c>
      <c r="H6" s="18" t="n">
        <v>46304</v>
      </c>
      <c r="I6" s="19" t="s">
        <v>115</v>
      </c>
      <c r="J6" s="17" t="s">
        <v>326</v>
      </c>
      <c r="K6" s="20" t="s">
        <v>126</v>
      </c>
      <c r="L6" s="16" t="s">
        <v>118</v>
      </c>
      <c r="M6" s="20" t="n">
        <v>2</v>
      </c>
      <c r="N6" s="17" t="s">
        <v>327</v>
      </c>
      <c r="O6" s="19" t="s">
        <v>119</v>
      </c>
      <c r="P6" s="21"/>
    </row>
    <row r="7" customFormat="false" ht="43.25" hidden="false" customHeight="false" outlineLevel="0" collapsed="false">
      <c r="A7" s="16" t="s">
        <v>112</v>
      </c>
      <c r="B7" s="16" t="s">
        <v>84</v>
      </c>
      <c r="C7" s="17" t="s">
        <v>85</v>
      </c>
      <c r="D7" s="18" t="n">
        <v>46444</v>
      </c>
      <c r="E7" s="19" t="s">
        <v>70</v>
      </c>
      <c r="F7" s="16" t="s">
        <v>328</v>
      </c>
      <c r="G7" s="17" t="s">
        <v>329</v>
      </c>
      <c r="H7" s="18" t="n">
        <v>46318</v>
      </c>
      <c r="I7" s="19" t="s">
        <v>115</v>
      </c>
      <c r="J7" s="17" t="s">
        <v>330</v>
      </c>
      <c r="K7" s="20" t="s">
        <v>131</v>
      </c>
      <c r="L7" s="16" t="s">
        <v>118</v>
      </c>
      <c r="M7" s="20" t="n">
        <v>3</v>
      </c>
      <c r="N7" s="17"/>
      <c r="O7" s="19" t="s">
        <v>119</v>
      </c>
      <c r="P7" s="21"/>
    </row>
    <row r="8" customFormat="false" ht="43.25" hidden="false" customHeight="false" outlineLevel="0" collapsed="false">
      <c r="A8" s="16" t="s">
        <v>112</v>
      </c>
      <c r="B8" s="16" t="s">
        <v>84</v>
      </c>
      <c r="C8" s="17" t="s">
        <v>85</v>
      </c>
      <c r="D8" s="18" t="n">
        <v>46444</v>
      </c>
      <c r="E8" s="19" t="s">
        <v>70</v>
      </c>
      <c r="F8" s="16" t="s">
        <v>328</v>
      </c>
      <c r="G8" s="17" t="s">
        <v>329</v>
      </c>
      <c r="H8" s="18" t="n">
        <v>46318</v>
      </c>
      <c r="I8" s="19" t="s">
        <v>115</v>
      </c>
      <c r="J8" s="17" t="s">
        <v>331</v>
      </c>
      <c r="K8" s="20" t="s">
        <v>131</v>
      </c>
      <c r="L8" s="16" t="s">
        <v>118</v>
      </c>
      <c r="M8" s="20" t="n">
        <v>1</v>
      </c>
      <c r="N8" s="17" t="s">
        <v>332</v>
      </c>
      <c r="O8" s="19" t="s">
        <v>119</v>
      </c>
      <c r="P8" s="21"/>
    </row>
    <row r="9" customFormat="false" ht="43.25" hidden="false" customHeight="false" outlineLevel="0" collapsed="false">
      <c r="A9" s="16" t="s">
        <v>112</v>
      </c>
      <c r="B9" s="16" t="s">
        <v>84</v>
      </c>
      <c r="C9" s="17" t="s">
        <v>85</v>
      </c>
      <c r="D9" s="18" t="n">
        <v>46444</v>
      </c>
      <c r="E9" s="19" t="s">
        <v>70</v>
      </c>
      <c r="F9" s="16" t="s">
        <v>328</v>
      </c>
      <c r="G9" s="17" t="s">
        <v>329</v>
      </c>
      <c r="H9" s="18" t="n">
        <v>46318</v>
      </c>
      <c r="I9" s="19" t="s">
        <v>115</v>
      </c>
      <c r="J9" s="17" t="s">
        <v>333</v>
      </c>
      <c r="K9" s="20" t="s">
        <v>131</v>
      </c>
      <c r="L9" s="16" t="s">
        <v>118</v>
      </c>
      <c r="M9" s="20" t="n">
        <v>3</v>
      </c>
      <c r="N9" s="17" t="s">
        <v>334</v>
      </c>
      <c r="O9" s="19" t="s">
        <v>119</v>
      </c>
      <c r="P9" s="21"/>
    </row>
    <row r="10" customFormat="false" ht="32.8" hidden="false" customHeight="false" outlineLevel="0" collapsed="false">
      <c r="A10" s="16" t="s">
        <v>112</v>
      </c>
      <c r="B10" s="16" t="s">
        <v>84</v>
      </c>
      <c r="C10" s="17" t="s">
        <v>85</v>
      </c>
      <c r="D10" s="18" t="n">
        <v>46444</v>
      </c>
      <c r="E10" s="19" t="s">
        <v>70</v>
      </c>
      <c r="F10" s="16" t="s">
        <v>335</v>
      </c>
      <c r="G10" s="17" t="s">
        <v>336</v>
      </c>
      <c r="H10" s="18" t="n">
        <v>46332</v>
      </c>
      <c r="I10" s="19" t="s">
        <v>115</v>
      </c>
      <c r="J10" s="17" t="s">
        <v>337</v>
      </c>
      <c r="K10" s="20" t="s">
        <v>131</v>
      </c>
      <c r="L10" s="16" t="s">
        <v>118</v>
      </c>
      <c r="M10" s="20" t="n">
        <v>4</v>
      </c>
      <c r="N10" s="17" t="s">
        <v>338</v>
      </c>
      <c r="O10" s="19" t="s">
        <v>119</v>
      </c>
      <c r="P10" s="21"/>
    </row>
    <row r="11" customFormat="false" ht="32.8" hidden="false" customHeight="false" outlineLevel="0" collapsed="false">
      <c r="A11" s="16" t="s">
        <v>112</v>
      </c>
      <c r="B11" s="16" t="s">
        <v>84</v>
      </c>
      <c r="C11" s="17" t="s">
        <v>85</v>
      </c>
      <c r="D11" s="18" t="n">
        <v>46444</v>
      </c>
      <c r="E11" s="19" t="s">
        <v>70</v>
      </c>
      <c r="F11" s="16" t="s">
        <v>335</v>
      </c>
      <c r="G11" s="17" t="s">
        <v>336</v>
      </c>
      <c r="H11" s="18" t="n">
        <v>46332</v>
      </c>
      <c r="I11" s="19" t="s">
        <v>115</v>
      </c>
      <c r="J11" s="17" t="s">
        <v>339</v>
      </c>
      <c r="K11" s="20" t="s">
        <v>196</v>
      </c>
      <c r="L11" s="16" t="s">
        <v>118</v>
      </c>
      <c r="M11" s="20" t="n">
        <v>5</v>
      </c>
      <c r="N11" s="17" t="s">
        <v>340</v>
      </c>
      <c r="O11" s="19" t="s">
        <v>119</v>
      </c>
      <c r="P11" s="21"/>
    </row>
    <row r="12" customFormat="false" ht="32.8" hidden="false" customHeight="false" outlineLevel="0" collapsed="false">
      <c r="A12" s="16" t="s">
        <v>112</v>
      </c>
      <c r="B12" s="16" t="s">
        <v>84</v>
      </c>
      <c r="C12" s="17" t="s">
        <v>85</v>
      </c>
      <c r="D12" s="18" t="n">
        <v>46444</v>
      </c>
      <c r="E12" s="19" t="s">
        <v>70</v>
      </c>
      <c r="F12" s="16" t="s">
        <v>335</v>
      </c>
      <c r="G12" s="17" t="s">
        <v>336</v>
      </c>
      <c r="H12" s="18" t="n">
        <v>46332</v>
      </c>
      <c r="I12" s="19" t="s">
        <v>115</v>
      </c>
      <c r="J12" s="17" t="s">
        <v>192</v>
      </c>
      <c r="K12" s="20" t="s">
        <v>196</v>
      </c>
      <c r="L12" s="16" t="s">
        <v>118</v>
      </c>
      <c r="M12" s="20" t="n">
        <v>2</v>
      </c>
      <c r="N12" s="17" t="s">
        <v>335</v>
      </c>
      <c r="O12" s="19" t="s">
        <v>119</v>
      </c>
      <c r="P12" s="21"/>
    </row>
    <row r="13" customFormat="false" ht="32.8" hidden="false" customHeight="false" outlineLevel="0" collapsed="false">
      <c r="A13" s="16" t="s">
        <v>112</v>
      </c>
      <c r="B13" s="16" t="s">
        <v>84</v>
      </c>
      <c r="C13" s="17" t="s">
        <v>85</v>
      </c>
      <c r="D13" s="18" t="n">
        <v>46444</v>
      </c>
      <c r="E13" s="19" t="s">
        <v>70</v>
      </c>
      <c r="F13" s="16" t="s">
        <v>341</v>
      </c>
      <c r="G13" s="17" t="s">
        <v>342</v>
      </c>
      <c r="H13" s="18" t="n">
        <v>46444</v>
      </c>
      <c r="I13" s="19" t="s">
        <v>115</v>
      </c>
      <c r="J13" s="17" t="s">
        <v>343</v>
      </c>
      <c r="K13" s="20" t="s">
        <v>277</v>
      </c>
      <c r="L13" s="16" t="s">
        <v>118</v>
      </c>
      <c r="M13" s="20" t="n">
        <v>4</v>
      </c>
      <c r="N13" s="17" t="s">
        <v>275</v>
      </c>
      <c r="O13" s="19" t="s">
        <v>119</v>
      </c>
      <c r="P13" s="21"/>
    </row>
    <row r="14" customFormat="false" ht="32.8" hidden="false" customHeight="false" outlineLevel="0" collapsed="false">
      <c r="A14" s="16" t="s">
        <v>112</v>
      </c>
      <c r="B14" s="16" t="s">
        <v>84</v>
      </c>
      <c r="C14" s="17" t="s">
        <v>85</v>
      </c>
      <c r="D14" s="18" t="n">
        <v>46444</v>
      </c>
      <c r="E14" s="19" t="s">
        <v>70</v>
      </c>
      <c r="F14" s="16" t="s">
        <v>341</v>
      </c>
      <c r="G14" s="17" t="s">
        <v>342</v>
      </c>
      <c r="H14" s="18" t="n">
        <v>46444</v>
      </c>
      <c r="I14" s="19" t="s">
        <v>115</v>
      </c>
      <c r="J14" s="17" t="s">
        <v>344</v>
      </c>
      <c r="K14" s="20" t="s">
        <v>277</v>
      </c>
      <c r="L14" s="16" t="s">
        <v>118</v>
      </c>
      <c r="M14" s="20" t="n">
        <v>2</v>
      </c>
      <c r="N14" s="17" t="s">
        <v>345</v>
      </c>
      <c r="O14" s="19" t="s">
        <v>119</v>
      </c>
      <c r="P14" s="21"/>
    </row>
    <row r="15" customFormat="false" ht="32.8" hidden="false" customHeight="false" outlineLevel="0" collapsed="false">
      <c r="A15" s="16" t="s">
        <v>112</v>
      </c>
      <c r="B15" s="16" t="s">
        <v>84</v>
      </c>
      <c r="C15" s="17" t="s">
        <v>85</v>
      </c>
      <c r="D15" s="18" t="n">
        <v>46444</v>
      </c>
      <c r="E15" s="19" t="s">
        <v>70</v>
      </c>
      <c r="F15" s="16"/>
      <c r="G15" s="17"/>
      <c r="H15" s="18"/>
      <c r="I15" s="19"/>
      <c r="J15" s="17" t="s">
        <v>346</v>
      </c>
      <c r="K15" s="20" t="s">
        <v>196</v>
      </c>
      <c r="L15" s="16" t="s">
        <v>118</v>
      </c>
      <c r="M15" s="20" t="n">
        <v>1</v>
      </c>
      <c r="N15" s="17" t="s">
        <v>335</v>
      </c>
      <c r="O15" s="19" t="s">
        <v>119</v>
      </c>
      <c r="P15" s="21"/>
    </row>
    <row r="16" customFormat="false" ht="32.8" hidden="false" customHeight="false" outlineLevel="0" collapsed="false">
      <c r="A16" s="16" t="s">
        <v>112</v>
      </c>
      <c r="B16" s="16" t="s">
        <v>84</v>
      </c>
      <c r="C16" s="17" t="s">
        <v>85</v>
      </c>
      <c r="D16" s="18" t="n">
        <v>46444</v>
      </c>
      <c r="E16" s="19" t="s">
        <v>70</v>
      </c>
      <c r="F16" s="16"/>
      <c r="G16" s="17"/>
      <c r="H16" s="18"/>
      <c r="I16" s="19"/>
      <c r="J16" s="17" t="s">
        <v>347</v>
      </c>
      <c r="K16" s="20" t="s">
        <v>277</v>
      </c>
      <c r="L16" s="16" t="s">
        <v>118</v>
      </c>
      <c r="M16" s="20" t="n">
        <v>1</v>
      </c>
      <c r="N16" s="17" t="s">
        <v>348</v>
      </c>
      <c r="O16" s="19" t="s">
        <v>119</v>
      </c>
      <c r="P16" s="21"/>
    </row>
  </sheetData>
  <autoFilter ref="A3:P16"/>
  <mergeCells count="1">
    <mergeCell ref="A1:L1"/>
  </mergeCells>
  <dataValidations count="3">
    <dataValidation allowBlank="true" errorStyle="stop" operator="between" showDropDown="false" showErrorMessage="false" showInputMessage="false" sqref="O4:O16" type="list">
      <formula1>"Backlog,To do,In progress,Blocked,Done"</formula1>
      <formula2>0</formula2>
    </dataValidation>
    <dataValidation allowBlank="true" errorStyle="stop" operator="between" showDropDown="false" showErrorMessage="false" showInputMessage="false" sqref="I4:I16" type="list">
      <formula1>"Não iniciado,Em curso,Feito"</formula1>
      <formula2>0</formula2>
    </dataValidation>
    <dataValidation allowBlank="true" errorStyle="stop" operator="between" showDropDown="false" showErrorMessage="false" showInputMessage="false" sqref="E4:E16" type="list">
      <formula1>"Não iniciada,Em curso,Feita"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5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21.75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1.5" hidden="false" customHeight="true" outlineLevel="0" collapsed="false">
      <c r="A3" s="27" t="s">
        <v>2</v>
      </c>
      <c r="B3" s="27" t="s">
        <v>4</v>
      </c>
      <c r="C3" s="27" t="s">
        <v>13</v>
      </c>
      <c r="D3" s="27" t="s">
        <v>61</v>
      </c>
      <c r="E3" s="27" t="s">
        <v>62</v>
      </c>
      <c r="F3" s="27" t="s">
        <v>6</v>
      </c>
      <c r="G3" s="27" t="s">
        <v>106</v>
      </c>
      <c r="H3" s="27" t="s">
        <v>107</v>
      </c>
      <c r="I3" s="27" t="s">
        <v>108</v>
      </c>
      <c r="J3" s="27" t="s">
        <v>8</v>
      </c>
      <c r="K3" s="27" t="s">
        <v>39</v>
      </c>
      <c r="L3" s="27" t="s">
        <v>109</v>
      </c>
      <c r="M3" s="27" t="s">
        <v>110</v>
      </c>
      <c r="N3" s="27" t="s">
        <v>43</v>
      </c>
      <c r="O3" s="27" t="s">
        <v>111</v>
      </c>
      <c r="P3" s="27" t="s">
        <v>45</v>
      </c>
    </row>
    <row r="4" customFormat="false" ht="32.8" hidden="false" customHeight="false" outlineLevel="0" collapsed="false">
      <c r="A4" s="16" t="s">
        <v>112</v>
      </c>
      <c r="B4" s="16" t="s">
        <v>87</v>
      </c>
      <c r="C4" s="17" t="s">
        <v>88</v>
      </c>
      <c r="D4" s="18" t="n">
        <v>46472</v>
      </c>
      <c r="E4" s="19" t="s">
        <v>70</v>
      </c>
      <c r="F4" s="16" t="s">
        <v>349</v>
      </c>
      <c r="G4" s="17" t="s">
        <v>350</v>
      </c>
      <c r="H4" s="18" t="n">
        <v>46346</v>
      </c>
      <c r="I4" s="19" t="s">
        <v>115</v>
      </c>
      <c r="J4" s="17" t="s">
        <v>351</v>
      </c>
      <c r="K4" s="20" t="s">
        <v>220</v>
      </c>
      <c r="L4" s="16" t="s">
        <v>118</v>
      </c>
      <c r="M4" s="20" t="n">
        <v>4</v>
      </c>
      <c r="N4" s="17" t="s">
        <v>352</v>
      </c>
      <c r="O4" s="19" t="s">
        <v>119</v>
      </c>
      <c r="P4" s="21"/>
    </row>
    <row r="5" customFormat="false" ht="32.8" hidden="false" customHeight="false" outlineLevel="0" collapsed="false">
      <c r="A5" s="16" t="s">
        <v>112</v>
      </c>
      <c r="B5" s="16" t="s">
        <v>87</v>
      </c>
      <c r="C5" s="17" t="s">
        <v>88</v>
      </c>
      <c r="D5" s="18" t="n">
        <v>46472</v>
      </c>
      <c r="E5" s="19" t="s">
        <v>70</v>
      </c>
      <c r="F5" s="16" t="s">
        <v>349</v>
      </c>
      <c r="G5" s="17" t="s">
        <v>350</v>
      </c>
      <c r="H5" s="18" t="n">
        <v>46346</v>
      </c>
      <c r="I5" s="19" t="s">
        <v>115</v>
      </c>
      <c r="J5" s="17" t="s">
        <v>353</v>
      </c>
      <c r="K5" s="20" t="s">
        <v>220</v>
      </c>
      <c r="L5" s="16" t="s">
        <v>118</v>
      </c>
      <c r="M5" s="20" t="n">
        <v>4</v>
      </c>
      <c r="N5" s="17" t="s">
        <v>354</v>
      </c>
      <c r="O5" s="19" t="s">
        <v>119</v>
      </c>
      <c r="P5" s="21"/>
    </row>
    <row r="6" customFormat="false" ht="32.8" hidden="false" customHeight="false" outlineLevel="0" collapsed="false">
      <c r="A6" s="16" t="s">
        <v>112</v>
      </c>
      <c r="B6" s="16" t="s">
        <v>87</v>
      </c>
      <c r="C6" s="17" t="s">
        <v>88</v>
      </c>
      <c r="D6" s="18" t="n">
        <v>46472</v>
      </c>
      <c r="E6" s="19" t="s">
        <v>70</v>
      </c>
      <c r="F6" s="16" t="s">
        <v>349</v>
      </c>
      <c r="G6" s="17" t="s">
        <v>350</v>
      </c>
      <c r="H6" s="18" t="n">
        <v>46346</v>
      </c>
      <c r="I6" s="19" t="s">
        <v>115</v>
      </c>
      <c r="J6" s="17" t="s">
        <v>355</v>
      </c>
      <c r="K6" s="20" t="s">
        <v>220</v>
      </c>
      <c r="L6" s="16" t="s">
        <v>118</v>
      </c>
      <c r="M6" s="20" t="n">
        <v>3</v>
      </c>
      <c r="N6" s="17" t="s">
        <v>356</v>
      </c>
      <c r="O6" s="19" t="s">
        <v>119</v>
      </c>
      <c r="P6" s="21"/>
    </row>
    <row r="7" customFormat="false" ht="32.8" hidden="false" customHeight="false" outlineLevel="0" collapsed="false">
      <c r="A7" s="16" t="s">
        <v>112</v>
      </c>
      <c r="B7" s="16" t="s">
        <v>87</v>
      </c>
      <c r="C7" s="17" t="s">
        <v>88</v>
      </c>
      <c r="D7" s="18" t="n">
        <v>46472</v>
      </c>
      <c r="E7" s="19" t="s">
        <v>70</v>
      </c>
      <c r="F7" s="16" t="s">
        <v>349</v>
      </c>
      <c r="G7" s="17" t="s">
        <v>350</v>
      </c>
      <c r="H7" s="18" t="n">
        <v>46346</v>
      </c>
      <c r="I7" s="19" t="s">
        <v>115</v>
      </c>
      <c r="J7" s="17" t="s">
        <v>357</v>
      </c>
      <c r="K7" s="20" t="s">
        <v>261</v>
      </c>
      <c r="L7" s="16" t="s">
        <v>118</v>
      </c>
      <c r="M7" s="20" t="n">
        <v>2</v>
      </c>
      <c r="N7" s="17" t="s">
        <v>358</v>
      </c>
      <c r="O7" s="19" t="s">
        <v>119</v>
      </c>
      <c r="P7" s="21"/>
    </row>
    <row r="8" customFormat="false" ht="32.8" hidden="false" customHeight="false" outlineLevel="0" collapsed="false">
      <c r="A8" s="16" t="s">
        <v>112</v>
      </c>
      <c r="B8" s="16" t="s">
        <v>87</v>
      </c>
      <c r="C8" s="17" t="s">
        <v>88</v>
      </c>
      <c r="D8" s="18" t="n">
        <v>46472</v>
      </c>
      <c r="E8" s="19" t="s">
        <v>70</v>
      </c>
      <c r="F8" s="16" t="s">
        <v>359</v>
      </c>
      <c r="G8" s="17" t="s">
        <v>360</v>
      </c>
      <c r="H8" s="18" t="n">
        <v>46360</v>
      </c>
      <c r="I8" s="19" t="s">
        <v>115</v>
      </c>
      <c r="J8" s="17" t="s">
        <v>361</v>
      </c>
      <c r="K8" s="20" t="s">
        <v>220</v>
      </c>
      <c r="L8" s="16" t="s">
        <v>118</v>
      </c>
      <c r="M8" s="20" t="n">
        <v>4</v>
      </c>
      <c r="N8" s="17"/>
      <c r="O8" s="19" t="s">
        <v>119</v>
      </c>
      <c r="P8" s="21"/>
    </row>
    <row r="9" customFormat="false" ht="32.8" hidden="false" customHeight="false" outlineLevel="0" collapsed="false">
      <c r="A9" s="16" t="s">
        <v>112</v>
      </c>
      <c r="B9" s="16" t="s">
        <v>87</v>
      </c>
      <c r="C9" s="17" t="s">
        <v>88</v>
      </c>
      <c r="D9" s="18" t="n">
        <v>46472</v>
      </c>
      <c r="E9" s="19" t="s">
        <v>70</v>
      </c>
      <c r="F9" s="16" t="s">
        <v>359</v>
      </c>
      <c r="G9" s="17" t="s">
        <v>360</v>
      </c>
      <c r="H9" s="18" t="n">
        <v>46360</v>
      </c>
      <c r="I9" s="19" t="s">
        <v>115</v>
      </c>
      <c r="J9" s="17" t="s">
        <v>362</v>
      </c>
      <c r="K9" s="20" t="s">
        <v>220</v>
      </c>
      <c r="L9" s="16" t="s">
        <v>118</v>
      </c>
      <c r="M9" s="20" t="n">
        <v>1</v>
      </c>
      <c r="N9" s="17"/>
      <c r="O9" s="19" t="s">
        <v>119</v>
      </c>
      <c r="P9" s="21"/>
    </row>
    <row r="10" customFormat="false" ht="32.8" hidden="false" customHeight="false" outlineLevel="0" collapsed="false">
      <c r="A10" s="16" t="s">
        <v>112</v>
      </c>
      <c r="B10" s="16" t="s">
        <v>87</v>
      </c>
      <c r="C10" s="17" t="s">
        <v>88</v>
      </c>
      <c r="D10" s="18" t="n">
        <v>46472</v>
      </c>
      <c r="E10" s="19" t="s">
        <v>70</v>
      </c>
      <c r="F10" s="16" t="s">
        <v>359</v>
      </c>
      <c r="G10" s="17" t="s">
        <v>360</v>
      </c>
      <c r="H10" s="18" t="n">
        <v>46360</v>
      </c>
      <c r="I10" s="19" t="s">
        <v>115</v>
      </c>
      <c r="J10" s="17" t="s">
        <v>363</v>
      </c>
      <c r="K10" s="20" t="s">
        <v>311</v>
      </c>
      <c r="L10" s="16" t="s">
        <v>118</v>
      </c>
      <c r="M10" s="20" t="n">
        <v>5</v>
      </c>
      <c r="N10" s="17" t="s">
        <v>364</v>
      </c>
      <c r="O10" s="19" t="s">
        <v>119</v>
      </c>
      <c r="P10" s="21"/>
    </row>
    <row r="11" customFormat="false" ht="32.8" hidden="false" customHeight="false" outlineLevel="0" collapsed="false">
      <c r="A11" s="16" t="s">
        <v>112</v>
      </c>
      <c r="B11" s="16" t="s">
        <v>87</v>
      </c>
      <c r="C11" s="17" t="s">
        <v>88</v>
      </c>
      <c r="D11" s="18" t="n">
        <v>46472</v>
      </c>
      <c r="E11" s="19" t="s">
        <v>70</v>
      </c>
      <c r="F11" s="16" t="s">
        <v>365</v>
      </c>
      <c r="G11" s="17" t="s">
        <v>366</v>
      </c>
      <c r="H11" s="18" t="n">
        <v>46416</v>
      </c>
      <c r="I11" s="19" t="s">
        <v>115</v>
      </c>
      <c r="J11" s="17" t="s">
        <v>367</v>
      </c>
      <c r="K11" s="20" t="s">
        <v>368</v>
      </c>
      <c r="L11" s="16" t="s">
        <v>118</v>
      </c>
      <c r="M11" s="20" t="n">
        <v>5</v>
      </c>
      <c r="N11" s="17" t="s">
        <v>369</v>
      </c>
      <c r="O11" s="19" t="s">
        <v>119</v>
      </c>
      <c r="P11" s="21"/>
    </row>
    <row r="12" customFormat="false" ht="32.8" hidden="false" customHeight="false" outlineLevel="0" collapsed="false">
      <c r="A12" s="16" t="s">
        <v>112</v>
      </c>
      <c r="B12" s="16" t="s">
        <v>87</v>
      </c>
      <c r="C12" s="17" t="s">
        <v>88</v>
      </c>
      <c r="D12" s="18" t="n">
        <v>46472</v>
      </c>
      <c r="E12" s="19" t="s">
        <v>70</v>
      </c>
      <c r="F12" s="16" t="s">
        <v>365</v>
      </c>
      <c r="G12" s="17" t="s">
        <v>366</v>
      </c>
      <c r="H12" s="18" t="n">
        <v>46416</v>
      </c>
      <c r="I12" s="19" t="s">
        <v>115</v>
      </c>
      <c r="J12" s="17" t="s">
        <v>370</v>
      </c>
      <c r="K12" s="20" t="s">
        <v>371</v>
      </c>
      <c r="L12" s="16" t="s">
        <v>118</v>
      </c>
      <c r="M12" s="20" t="n">
        <v>8</v>
      </c>
      <c r="N12" s="17" t="s">
        <v>372</v>
      </c>
      <c r="O12" s="19" t="s">
        <v>119</v>
      </c>
      <c r="P12" s="21"/>
    </row>
    <row r="13" customFormat="false" ht="32.8" hidden="false" customHeight="false" outlineLevel="0" collapsed="false">
      <c r="A13" s="16" t="s">
        <v>112</v>
      </c>
      <c r="B13" s="16" t="s">
        <v>87</v>
      </c>
      <c r="C13" s="17" t="s">
        <v>88</v>
      </c>
      <c r="D13" s="18" t="n">
        <v>46472</v>
      </c>
      <c r="E13" s="19" t="s">
        <v>70</v>
      </c>
      <c r="F13" s="16" t="s">
        <v>365</v>
      </c>
      <c r="G13" s="17" t="s">
        <v>366</v>
      </c>
      <c r="H13" s="18" t="n">
        <v>46416</v>
      </c>
      <c r="I13" s="19" t="s">
        <v>115</v>
      </c>
      <c r="J13" s="17" t="s">
        <v>373</v>
      </c>
      <c r="K13" s="20" t="s">
        <v>266</v>
      </c>
      <c r="L13" s="16" t="s">
        <v>118</v>
      </c>
      <c r="M13" s="20" t="n">
        <v>5</v>
      </c>
      <c r="N13" s="17" t="s">
        <v>374</v>
      </c>
      <c r="O13" s="19" t="s">
        <v>119</v>
      </c>
      <c r="P13" s="21"/>
    </row>
    <row r="14" customFormat="false" ht="22.35" hidden="false" customHeight="false" outlineLevel="0" collapsed="false">
      <c r="A14" s="16" t="s">
        <v>112</v>
      </c>
      <c r="B14" s="16" t="s">
        <v>87</v>
      </c>
      <c r="C14" s="17" t="s">
        <v>88</v>
      </c>
      <c r="D14" s="18" t="n">
        <v>46472</v>
      </c>
      <c r="E14" s="19" t="s">
        <v>70</v>
      </c>
      <c r="F14" s="16" t="s">
        <v>375</v>
      </c>
      <c r="G14" s="17" t="s">
        <v>376</v>
      </c>
      <c r="H14" s="18" t="n">
        <v>46444</v>
      </c>
      <c r="I14" s="19" t="s">
        <v>115</v>
      </c>
      <c r="J14" s="17" t="s">
        <v>377</v>
      </c>
      <c r="K14" s="20" t="s">
        <v>271</v>
      </c>
      <c r="L14" s="16" t="s">
        <v>118</v>
      </c>
      <c r="M14" s="20" t="n">
        <v>8</v>
      </c>
      <c r="N14" s="17" t="s">
        <v>378</v>
      </c>
      <c r="O14" s="19" t="s">
        <v>119</v>
      </c>
      <c r="P14" s="21"/>
    </row>
    <row r="15" customFormat="false" ht="22.35" hidden="false" customHeight="false" outlineLevel="0" collapsed="false">
      <c r="A15" s="16" t="s">
        <v>112</v>
      </c>
      <c r="B15" s="16" t="s">
        <v>87</v>
      </c>
      <c r="C15" s="17" t="s">
        <v>88</v>
      </c>
      <c r="D15" s="18" t="n">
        <v>46472</v>
      </c>
      <c r="E15" s="19" t="s">
        <v>70</v>
      </c>
      <c r="F15" s="16" t="s">
        <v>375</v>
      </c>
      <c r="G15" s="17" t="s">
        <v>376</v>
      </c>
      <c r="H15" s="18" t="n">
        <v>46444</v>
      </c>
      <c r="I15" s="19" t="s">
        <v>115</v>
      </c>
      <c r="J15" s="17" t="s">
        <v>379</v>
      </c>
      <c r="K15" s="20" t="s">
        <v>277</v>
      </c>
      <c r="L15" s="16" t="s">
        <v>118</v>
      </c>
      <c r="M15" s="20" t="n">
        <v>4</v>
      </c>
      <c r="N15" s="17" t="s">
        <v>380</v>
      </c>
      <c r="O15" s="19" t="s">
        <v>119</v>
      </c>
      <c r="P15" s="21"/>
    </row>
    <row r="16" customFormat="false" ht="22.35" hidden="false" customHeight="false" outlineLevel="0" collapsed="false">
      <c r="A16" s="16" t="s">
        <v>112</v>
      </c>
      <c r="B16" s="16" t="s">
        <v>87</v>
      </c>
      <c r="C16" s="17" t="s">
        <v>88</v>
      </c>
      <c r="D16" s="18" t="n">
        <v>46472</v>
      </c>
      <c r="E16" s="19" t="s">
        <v>70</v>
      </c>
      <c r="F16" s="16" t="s">
        <v>381</v>
      </c>
      <c r="G16" s="17" t="s">
        <v>382</v>
      </c>
      <c r="H16" s="18" t="n">
        <v>46542</v>
      </c>
      <c r="I16" s="19" t="s">
        <v>115</v>
      </c>
      <c r="J16" s="17" t="s">
        <v>383</v>
      </c>
      <c r="K16" s="20" t="s">
        <v>384</v>
      </c>
      <c r="L16" s="16" t="s">
        <v>118</v>
      </c>
      <c r="M16" s="20" t="n">
        <v>6</v>
      </c>
      <c r="N16" s="17" t="s">
        <v>375</v>
      </c>
      <c r="O16" s="19" t="s">
        <v>119</v>
      </c>
      <c r="P16" s="21"/>
    </row>
    <row r="17" customFormat="false" ht="22.35" hidden="false" customHeight="false" outlineLevel="0" collapsed="false">
      <c r="A17" s="16" t="s">
        <v>112</v>
      </c>
      <c r="B17" s="16" t="s">
        <v>87</v>
      </c>
      <c r="C17" s="17" t="s">
        <v>88</v>
      </c>
      <c r="D17" s="18" t="n">
        <v>46472</v>
      </c>
      <c r="E17" s="19" t="s">
        <v>70</v>
      </c>
      <c r="F17" s="16" t="s">
        <v>381</v>
      </c>
      <c r="G17" s="17" t="s">
        <v>382</v>
      </c>
      <c r="H17" s="18" t="n">
        <v>46542</v>
      </c>
      <c r="I17" s="19" t="s">
        <v>115</v>
      </c>
      <c r="J17" s="17" t="s">
        <v>385</v>
      </c>
      <c r="K17" s="20" t="s">
        <v>386</v>
      </c>
      <c r="L17" s="16" t="s">
        <v>118</v>
      </c>
      <c r="M17" s="20" t="n">
        <v>4</v>
      </c>
      <c r="N17" s="17" t="s">
        <v>387</v>
      </c>
      <c r="O17" s="19" t="s">
        <v>119</v>
      </c>
      <c r="P17" s="21"/>
    </row>
    <row r="18" customFormat="false" ht="22.35" hidden="false" customHeight="false" outlineLevel="0" collapsed="false">
      <c r="A18" s="16" t="s">
        <v>112</v>
      </c>
      <c r="B18" s="16" t="s">
        <v>87</v>
      </c>
      <c r="C18" s="17" t="s">
        <v>88</v>
      </c>
      <c r="D18" s="18" t="n">
        <v>46472</v>
      </c>
      <c r="E18" s="19" t="s">
        <v>70</v>
      </c>
      <c r="F18" s="16"/>
      <c r="G18" s="17"/>
      <c r="H18" s="18"/>
      <c r="I18" s="19"/>
      <c r="J18" s="17" t="s">
        <v>388</v>
      </c>
      <c r="K18" s="20" t="s">
        <v>389</v>
      </c>
      <c r="L18" s="16" t="s">
        <v>118</v>
      </c>
      <c r="M18" s="20" t="n">
        <v>2</v>
      </c>
      <c r="N18" s="17" t="s">
        <v>390</v>
      </c>
      <c r="O18" s="19" t="s">
        <v>119</v>
      </c>
      <c r="P18" s="21"/>
    </row>
  </sheetData>
  <autoFilter ref="A3:P18"/>
  <mergeCells count="1">
    <mergeCell ref="A1:L1"/>
  </mergeCells>
  <dataValidations count="3">
    <dataValidation allowBlank="true" errorStyle="stop" operator="between" showDropDown="false" showErrorMessage="false" showInputMessage="false" sqref="O4:O18" type="list">
      <formula1>"Backlog,To do,In progress,Blocked,Done"</formula1>
      <formula2>0</formula2>
    </dataValidation>
    <dataValidation allowBlank="true" errorStyle="stop" operator="between" showDropDown="false" showErrorMessage="false" showInputMessage="false" sqref="I4:I18" type="list">
      <formula1>"Não iniciado,Em curso,Feito"</formula1>
      <formula2>0</formula2>
    </dataValidation>
    <dataValidation allowBlank="true" errorStyle="stop" operator="between" showDropDown="false" showErrorMessage="false" showInputMessage="false" sqref="E4:E18" type="list">
      <formula1>"Não iniciada,Em curso,Feita"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5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21.75" hidden="false" customHeight="true" outlineLevel="0" collapsed="false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1.5" hidden="false" customHeight="true" outlineLevel="0" collapsed="false">
      <c r="A3" s="27" t="s">
        <v>2</v>
      </c>
      <c r="B3" s="27" t="s">
        <v>4</v>
      </c>
      <c r="C3" s="27" t="s">
        <v>13</v>
      </c>
      <c r="D3" s="27" t="s">
        <v>61</v>
      </c>
      <c r="E3" s="27" t="s">
        <v>62</v>
      </c>
      <c r="F3" s="27" t="s">
        <v>6</v>
      </c>
      <c r="G3" s="27" t="s">
        <v>106</v>
      </c>
      <c r="H3" s="27" t="s">
        <v>107</v>
      </c>
      <c r="I3" s="27" t="s">
        <v>108</v>
      </c>
      <c r="J3" s="27" t="s">
        <v>8</v>
      </c>
      <c r="K3" s="27" t="s">
        <v>39</v>
      </c>
      <c r="L3" s="27" t="s">
        <v>109</v>
      </c>
      <c r="M3" s="27" t="s">
        <v>110</v>
      </c>
      <c r="N3" s="27" t="s">
        <v>43</v>
      </c>
      <c r="O3" s="27" t="s">
        <v>111</v>
      </c>
      <c r="P3" s="27" t="s">
        <v>45</v>
      </c>
    </row>
    <row r="4" customFormat="false" ht="32.8" hidden="false" customHeight="false" outlineLevel="0" collapsed="false">
      <c r="A4" s="16" t="s">
        <v>112</v>
      </c>
      <c r="B4" s="16" t="s">
        <v>90</v>
      </c>
      <c r="C4" s="17" t="s">
        <v>91</v>
      </c>
      <c r="D4" s="18" t="n">
        <v>46402</v>
      </c>
      <c r="E4" s="19" t="s">
        <v>70</v>
      </c>
      <c r="F4" s="16" t="s">
        <v>391</v>
      </c>
      <c r="G4" s="17" t="s">
        <v>392</v>
      </c>
      <c r="H4" s="18" t="n">
        <v>46346</v>
      </c>
      <c r="I4" s="19" t="s">
        <v>115</v>
      </c>
      <c r="J4" s="17" t="s">
        <v>393</v>
      </c>
      <c r="K4" s="20" t="s">
        <v>220</v>
      </c>
      <c r="L4" s="16" t="s">
        <v>118</v>
      </c>
      <c r="M4" s="20" t="n">
        <v>3</v>
      </c>
      <c r="N4" s="17" t="s">
        <v>352</v>
      </c>
      <c r="O4" s="19" t="s">
        <v>119</v>
      </c>
      <c r="P4" s="21"/>
    </row>
    <row r="5" customFormat="false" ht="32.8" hidden="false" customHeight="false" outlineLevel="0" collapsed="false">
      <c r="A5" s="16" t="s">
        <v>112</v>
      </c>
      <c r="B5" s="16" t="s">
        <v>90</v>
      </c>
      <c r="C5" s="17" t="s">
        <v>91</v>
      </c>
      <c r="D5" s="18" t="n">
        <v>46402</v>
      </c>
      <c r="E5" s="19" t="s">
        <v>70</v>
      </c>
      <c r="F5" s="16" t="s">
        <v>391</v>
      </c>
      <c r="G5" s="17" t="s">
        <v>392</v>
      </c>
      <c r="H5" s="18" t="n">
        <v>46346</v>
      </c>
      <c r="I5" s="19" t="s">
        <v>115</v>
      </c>
      <c r="J5" s="17" t="s">
        <v>394</v>
      </c>
      <c r="K5" s="20" t="s">
        <v>220</v>
      </c>
      <c r="L5" s="16" t="s">
        <v>118</v>
      </c>
      <c r="M5" s="20" t="n">
        <v>2</v>
      </c>
      <c r="N5" s="17" t="s">
        <v>395</v>
      </c>
      <c r="O5" s="19" t="s">
        <v>119</v>
      </c>
      <c r="P5" s="21"/>
    </row>
    <row r="6" customFormat="false" ht="32.8" hidden="false" customHeight="false" outlineLevel="0" collapsed="false">
      <c r="A6" s="16" t="s">
        <v>112</v>
      </c>
      <c r="B6" s="16" t="s">
        <v>90</v>
      </c>
      <c r="C6" s="17" t="s">
        <v>91</v>
      </c>
      <c r="D6" s="18" t="n">
        <v>46402</v>
      </c>
      <c r="E6" s="19" t="s">
        <v>70</v>
      </c>
      <c r="F6" s="16" t="s">
        <v>396</v>
      </c>
      <c r="G6" s="17" t="s">
        <v>397</v>
      </c>
      <c r="H6" s="18" t="n">
        <v>46360</v>
      </c>
      <c r="I6" s="19" t="s">
        <v>115</v>
      </c>
      <c r="J6" s="17" t="s">
        <v>398</v>
      </c>
      <c r="K6" s="20" t="s">
        <v>311</v>
      </c>
      <c r="L6" s="16" t="s">
        <v>118</v>
      </c>
      <c r="M6" s="20" t="n">
        <v>3</v>
      </c>
      <c r="N6" s="17" t="s">
        <v>391</v>
      </c>
      <c r="O6" s="19" t="s">
        <v>119</v>
      </c>
      <c r="P6" s="21"/>
    </row>
    <row r="7" customFormat="false" ht="32.8" hidden="false" customHeight="false" outlineLevel="0" collapsed="false">
      <c r="A7" s="16" t="s">
        <v>112</v>
      </c>
      <c r="B7" s="16" t="s">
        <v>90</v>
      </c>
      <c r="C7" s="17" t="s">
        <v>91</v>
      </c>
      <c r="D7" s="18" t="n">
        <v>46402</v>
      </c>
      <c r="E7" s="19" t="s">
        <v>70</v>
      </c>
      <c r="F7" s="16" t="s">
        <v>396</v>
      </c>
      <c r="G7" s="17" t="s">
        <v>397</v>
      </c>
      <c r="H7" s="18" t="n">
        <v>46360</v>
      </c>
      <c r="I7" s="19" t="s">
        <v>115</v>
      </c>
      <c r="J7" s="17" t="s">
        <v>399</v>
      </c>
      <c r="K7" s="20" t="s">
        <v>311</v>
      </c>
      <c r="L7" s="16" t="s">
        <v>118</v>
      </c>
      <c r="M7" s="20" t="n">
        <v>3</v>
      </c>
      <c r="N7" s="17" t="s">
        <v>400</v>
      </c>
      <c r="O7" s="19" t="s">
        <v>119</v>
      </c>
      <c r="P7" s="21"/>
    </row>
    <row r="8" customFormat="false" ht="32.8" hidden="false" customHeight="false" outlineLevel="0" collapsed="false">
      <c r="A8" s="16" t="s">
        <v>112</v>
      </c>
      <c r="B8" s="16" t="s">
        <v>90</v>
      </c>
      <c r="C8" s="17" t="s">
        <v>91</v>
      </c>
      <c r="D8" s="18" t="n">
        <v>46402</v>
      </c>
      <c r="E8" s="19" t="s">
        <v>70</v>
      </c>
      <c r="F8" s="16" t="s">
        <v>396</v>
      </c>
      <c r="G8" s="17" t="s">
        <v>397</v>
      </c>
      <c r="H8" s="18" t="n">
        <v>46360</v>
      </c>
      <c r="I8" s="19" t="s">
        <v>115</v>
      </c>
      <c r="J8" s="17" t="s">
        <v>401</v>
      </c>
      <c r="K8" s="20" t="s">
        <v>311</v>
      </c>
      <c r="L8" s="16" t="s">
        <v>118</v>
      </c>
      <c r="M8" s="20" t="n">
        <v>2</v>
      </c>
      <c r="N8" s="17" t="s">
        <v>402</v>
      </c>
      <c r="O8" s="19" t="s">
        <v>119</v>
      </c>
      <c r="P8" s="21"/>
    </row>
    <row r="9" customFormat="false" ht="32.8" hidden="false" customHeight="false" outlineLevel="0" collapsed="false">
      <c r="A9" s="16" t="s">
        <v>112</v>
      </c>
      <c r="B9" s="16" t="s">
        <v>90</v>
      </c>
      <c r="C9" s="17" t="s">
        <v>91</v>
      </c>
      <c r="D9" s="18" t="n">
        <v>46402</v>
      </c>
      <c r="E9" s="19" t="s">
        <v>70</v>
      </c>
      <c r="F9" s="16" t="s">
        <v>403</v>
      </c>
      <c r="G9" s="17" t="s">
        <v>404</v>
      </c>
      <c r="H9" s="18" t="n">
        <v>46374</v>
      </c>
      <c r="I9" s="19" t="s">
        <v>115</v>
      </c>
      <c r="J9" s="17" t="s">
        <v>405</v>
      </c>
      <c r="K9" s="20" t="s">
        <v>368</v>
      </c>
      <c r="L9" s="16" t="s">
        <v>118</v>
      </c>
      <c r="M9" s="20" t="n">
        <v>5</v>
      </c>
      <c r="N9" s="17" t="s">
        <v>400</v>
      </c>
      <c r="O9" s="19" t="s">
        <v>119</v>
      </c>
      <c r="P9" s="21"/>
    </row>
    <row r="10" customFormat="false" ht="32.8" hidden="false" customHeight="false" outlineLevel="0" collapsed="false">
      <c r="A10" s="16" t="s">
        <v>112</v>
      </c>
      <c r="B10" s="16" t="s">
        <v>90</v>
      </c>
      <c r="C10" s="17" t="s">
        <v>91</v>
      </c>
      <c r="D10" s="18" t="n">
        <v>46402</v>
      </c>
      <c r="E10" s="19" t="s">
        <v>70</v>
      </c>
      <c r="F10" s="16" t="s">
        <v>403</v>
      </c>
      <c r="G10" s="17" t="s">
        <v>404</v>
      </c>
      <c r="H10" s="18" t="n">
        <v>46374</v>
      </c>
      <c r="I10" s="19" t="s">
        <v>115</v>
      </c>
      <c r="J10" s="17" t="s">
        <v>406</v>
      </c>
      <c r="K10" s="20" t="s">
        <v>368</v>
      </c>
      <c r="L10" s="16" t="s">
        <v>118</v>
      </c>
      <c r="M10" s="20" t="n">
        <v>3</v>
      </c>
      <c r="N10" s="17" t="s">
        <v>407</v>
      </c>
      <c r="O10" s="19" t="s">
        <v>119</v>
      </c>
      <c r="P10" s="21"/>
    </row>
    <row r="11" customFormat="false" ht="32.8" hidden="false" customHeight="false" outlineLevel="0" collapsed="false">
      <c r="A11" s="16" t="s">
        <v>112</v>
      </c>
      <c r="B11" s="16" t="s">
        <v>90</v>
      </c>
      <c r="C11" s="17" t="s">
        <v>91</v>
      </c>
      <c r="D11" s="18" t="n">
        <v>46402</v>
      </c>
      <c r="E11" s="19" t="s">
        <v>70</v>
      </c>
      <c r="F11" s="16" t="s">
        <v>408</v>
      </c>
      <c r="G11" s="17" t="s">
        <v>409</v>
      </c>
      <c r="H11" s="18" t="n">
        <v>46402</v>
      </c>
      <c r="I11" s="19" t="s">
        <v>115</v>
      </c>
      <c r="J11" s="17" t="s">
        <v>410</v>
      </c>
      <c r="K11" s="20" t="s">
        <v>371</v>
      </c>
      <c r="L11" s="16" t="s">
        <v>118</v>
      </c>
      <c r="M11" s="20" t="n">
        <v>2</v>
      </c>
      <c r="N11" s="17" t="s">
        <v>407</v>
      </c>
      <c r="O11" s="19" t="s">
        <v>119</v>
      </c>
      <c r="P11" s="21"/>
    </row>
    <row r="12" customFormat="false" ht="32.8" hidden="false" customHeight="false" outlineLevel="0" collapsed="false">
      <c r="A12" s="16" t="s">
        <v>112</v>
      </c>
      <c r="B12" s="16" t="s">
        <v>90</v>
      </c>
      <c r="C12" s="17" t="s">
        <v>91</v>
      </c>
      <c r="D12" s="18" t="n">
        <v>46402</v>
      </c>
      <c r="E12" s="19" t="s">
        <v>70</v>
      </c>
      <c r="F12" s="16" t="s">
        <v>408</v>
      </c>
      <c r="G12" s="17" t="s">
        <v>409</v>
      </c>
      <c r="H12" s="18" t="n">
        <v>46402</v>
      </c>
      <c r="I12" s="19" t="s">
        <v>115</v>
      </c>
      <c r="J12" s="17" t="s">
        <v>411</v>
      </c>
      <c r="K12" s="20" t="s">
        <v>371</v>
      </c>
      <c r="L12" s="16" t="s">
        <v>118</v>
      </c>
      <c r="M12" s="20" t="n">
        <v>2</v>
      </c>
      <c r="N12" s="17" t="s">
        <v>407</v>
      </c>
      <c r="O12" s="19" t="s">
        <v>119</v>
      </c>
      <c r="P12" s="21"/>
    </row>
  </sheetData>
  <autoFilter ref="A3:P12"/>
  <mergeCells count="1">
    <mergeCell ref="A1:L1"/>
  </mergeCells>
  <dataValidations count="3">
    <dataValidation allowBlank="true" errorStyle="stop" operator="between" showDropDown="false" showErrorMessage="false" showInputMessage="false" sqref="O4:O12" type="list">
      <formula1>"Backlog,To do,In progress,Blocked,Done"</formula1>
      <formula2>0</formula2>
    </dataValidation>
    <dataValidation allowBlank="true" errorStyle="stop" operator="between" showDropDown="false" showErrorMessage="false" showInputMessage="false" sqref="I4:I12" type="list">
      <formula1>"Não iniciado,Em curso,Feito"</formula1>
      <formula2>0</formula2>
    </dataValidation>
    <dataValidation allowBlank="true" errorStyle="stop" operator="between" showDropDown="false" showErrorMessage="false" showInputMessage="false" sqref="E4:E12" type="list">
      <formula1>"Não iniciada,Em curso,Feita"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5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21.75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1.5" hidden="false" customHeight="true" outlineLevel="0" collapsed="false">
      <c r="A3" s="27" t="s">
        <v>2</v>
      </c>
      <c r="B3" s="27" t="s">
        <v>4</v>
      </c>
      <c r="C3" s="27" t="s">
        <v>13</v>
      </c>
      <c r="D3" s="27" t="s">
        <v>61</v>
      </c>
      <c r="E3" s="27" t="s">
        <v>62</v>
      </c>
      <c r="F3" s="27" t="s">
        <v>6</v>
      </c>
      <c r="G3" s="27" t="s">
        <v>106</v>
      </c>
      <c r="H3" s="27" t="s">
        <v>107</v>
      </c>
      <c r="I3" s="27" t="s">
        <v>108</v>
      </c>
      <c r="J3" s="27" t="s">
        <v>8</v>
      </c>
      <c r="K3" s="27" t="s">
        <v>39</v>
      </c>
      <c r="L3" s="27" t="s">
        <v>109</v>
      </c>
      <c r="M3" s="27" t="s">
        <v>110</v>
      </c>
      <c r="N3" s="27" t="s">
        <v>43</v>
      </c>
      <c r="O3" s="27" t="s">
        <v>111</v>
      </c>
      <c r="P3" s="27" t="s">
        <v>45</v>
      </c>
    </row>
    <row r="4" customFormat="false" ht="32.8" hidden="false" customHeight="false" outlineLevel="0" collapsed="false">
      <c r="A4" s="16" t="s">
        <v>112</v>
      </c>
      <c r="B4" s="16" t="s">
        <v>93</v>
      </c>
      <c r="C4" s="17" t="s">
        <v>94</v>
      </c>
      <c r="D4" s="18" t="n">
        <v>46402</v>
      </c>
      <c r="E4" s="19" t="s">
        <v>70</v>
      </c>
      <c r="F4" s="16" t="s">
        <v>412</v>
      </c>
      <c r="G4" s="17" t="s">
        <v>413</v>
      </c>
      <c r="H4" s="18" t="n">
        <v>46318</v>
      </c>
      <c r="I4" s="19" t="s">
        <v>115</v>
      </c>
      <c r="J4" s="17" t="s">
        <v>414</v>
      </c>
      <c r="K4" s="20" t="s">
        <v>131</v>
      </c>
      <c r="L4" s="16" t="s">
        <v>118</v>
      </c>
      <c r="M4" s="20" t="n">
        <v>3</v>
      </c>
      <c r="N4" s="17" t="s">
        <v>200</v>
      </c>
      <c r="O4" s="19" t="s">
        <v>119</v>
      </c>
      <c r="P4" s="21"/>
    </row>
    <row r="5" customFormat="false" ht="32.8" hidden="false" customHeight="false" outlineLevel="0" collapsed="false">
      <c r="A5" s="16" t="s">
        <v>112</v>
      </c>
      <c r="B5" s="16" t="s">
        <v>93</v>
      </c>
      <c r="C5" s="17" t="s">
        <v>94</v>
      </c>
      <c r="D5" s="18" t="n">
        <v>46402</v>
      </c>
      <c r="E5" s="19" t="s">
        <v>70</v>
      </c>
      <c r="F5" s="16" t="s">
        <v>412</v>
      </c>
      <c r="G5" s="17" t="s">
        <v>413</v>
      </c>
      <c r="H5" s="18" t="n">
        <v>46318</v>
      </c>
      <c r="I5" s="19" t="s">
        <v>115</v>
      </c>
      <c r="J5" s="17" t="s">
        <v>415</v>
      </c>
      <c r="K5" s="20" t="s">
        <v>131</v>
      </c>
      <c r="L5" s="16" t="s">
        <v>118</v>
      </c>
      <c r="M5" s="20" t="n">
        <v>2</v>
      </c>
      <c r="N5" s="17" t="s">
        <v>416</v>
      </c>
      <c r="O5" s="19" t="s">
        <v>119</v>
      </c>
      <c r="P5" s="21"/>
    </row>
    <row r="6" customFormat="false" ht="32.8" hidden="false" customHeight="false" outlineLevel="0" collapsed="false">
      <c r="A6" s="16" t="s">
        <v>112</v>
      </c>
      <c r="B6" s="16" t="s">
        <v>93</v>
      </c>
      <c r="C6" s="17" t="s">
        <v>94</v>
      </c>
      <c r="D6" s="18" t="n">
        <v>46402</v>
      </c>
      <c r="E6" s="19" t="s">
        <v>70</v>
      </c>
      <c r="F6" s="16" t="s">
        <v>412</v>
      </c>
      <c r="G6" s="17" t="s">
        <v>413</v>
      </c>
      <c r="H6" s="18" t="n">
        <v>46318</v>
      </c>
      <c r="I6" s="19" t="s">
        <v>115</v>
      </c>
      <c r="J6" s="17" t="s">
        <v>417</v>
      </c>
      <c r="K6" s="20" t="s">
        <v>131</v>
      </c>
      <c r="L6" s="16" t="s">
        <v>118</v>
      </c>
      <c r="M6" s="20" t="n">
        <v>3</v>
      </c>
      <c r="N6" s="17" t="s">
        <v>418</v>
      </c>
      <c r="O6" s="19" t="s">
        <v>119</v>
      </c>
      <c r="P6" s="21"/>
    </row>
    <row r="7" customFormat="false" ht="22.35" hidden="false" customHeight="false" outlineLevel="0" collapsed="false">
      <c r="A7" s="16" t="s">
        <v>112</v>
      </c>
      <c r="B7" s="16" t="s">
        <v>93</v>
      </c>
      <c r="C7" s="17" t="s">
        <v>94</v>
      </c>
      <c r="D7" s="18" t="n">
        <v>46402</v>
      </c>
      <c r="E7" s="19" t="s">
        <v>70</v>
      </c>
      <c r="F7" s="16" t="s">
        <v>419</v>
      </c>
      <c r="G7" s="17" t="s">
        <v>420</v>
      </c>
      <c r="H7" s="18" t="n">
        <v>46346</v>
      </c>
      <c r="I7" s="19" t="s">
        <v>115</v>
      </c>
      <c r="J7" s="17" t="s">
        <v>421</v>
      </c>
      <c r="K7" s="20" t="s">
        <v>220</v>
      </c>
      <c r="L7" s="16" t="s">
        <v>118</v>
      </c>
      <c r="M7" s="20" t="n">
        <v>2</v>
      </c>
      <c r="N7" s="17" t="s">
        <v>412</v>
      </c>
      <c r="O7" s="19" t="s">
        <v>119</v>
      </c>
      <c r="P7" s="21"/>
    </row>
    <row r="8" customFormat="false" ht="22.35" hidden="false" customHeight="false" outlineLevel="0" collapsed="false">
      <c r="A8" s="16" t="s">
        <v>112</v>
      </c>
      <c r="B8" s="16" t="s">
        <v>93</v>
      </c>
      <c r="C8" s="17" t="s">
        <v>94</v>
      </c>
      <c r="D8" s="18" t="n">
        <v>46402</v>
      </c>
      <c r="E8" s="19" t="s">
        <v>70</v>
      </c>
      <c r="F8" s="16" t="s">
        <v>419</v>
      </c>
      <c r="G8" s="17" t="s">
        <v>420</v>
      </c>
      <c r="H8" s="18" t="n">
        <v>46346</v>
      </c>
      <c r="I8" s="19" t="s">
        <v>115</v>
      </c>
      <c r="J8" s="17" t="s">
        <v>422</v>
      </c>
      <c r="K8" s="20" t="s">
        <v>220</v>
      </c>
      <c r="L8" s="16" t="s">
        <v>118</v>
      </c>
      <c r="M8" s="20" t="n">
        <v>5</v>
      </c>
      <c r="N8" s="17" t="s">
        <v>423</v>
      </c>
      <c r="O8" s="19" t="s">
        <v>119</v>
      </c>
      <c r="P8" s="21"/>
    </row>
    <row r="9" customFormat="false" ht="22.35" hidden="false" customHeight="false" outlineLevel="0" collapsed="false">
      <c r="A9" s="16" t="s">
        <v>112</v>
      </c>
      <c r="B9" s="16" t="s">
        <v>93</v>
      </c>
      <c r="C9" s="17" t="s">
        <v>94</v>
      </c>
      <c r="D9" s="18" t="n">
        <v>46402</v>
      </c>
      <c r="E9" s="19" t="s">
        <v>70</v>
      </c>
      <c r="F9" s="16" t="s">
        <v>419</v>
      </c>
      <c r="G9" s="17" t="s">
        <v>420</v>
      </c>
      <c r="H9" s="18" t="n">
        <v>46346</v>
      </c>
      <c r="I9" s="19" t="s">
        <v>115</v>
      </c>
      <c r="J9" s="17" t="s">
        <v>424</v>
      </c>
      <c r="K9" s="20" t="s">
        <v>220</v>
      </c>
      <c r="L9" s="16" t="s">
        <v>118</v>
      </c>
      <c r="M9" s="20" t="n">
        <v>2</v>
      </c>
      <c r="N9" s="17" t="s">
        <v>425</v>
      </c>
      <c r="O9" s="19" t="s">
        <v>119</v>
      </c>
      <c r="P9" s="21"/>
    </row>
    <row r="10" customFormat="false" ht="32.8" hidden="false" customHeight="false" outlineLevel="0" collapsed="false">
      <c r="A10" s="16" t="s">
        <v>112</v>
      </c>
      <c r="B10" s="16" t="s">
        <v>93</v>
      </c>
      <c r="C10" s="17" t="s">
        <v>94</v>
      </c>
      <c r="D10" s="18" t="n">
        <v>46402</v>
      </c>
      <c r="E10" s="19" t="s">
        <v>70</v>
      </c>
      <c r="F10" s="16" t="s">
        <v>426</v>
      </c>
      <c r="G10" s="17" t="s">
        <v>427</v>
      </c>
      <c r="H10" s="18" t="n">
        <v>46360</v>
      </c>
      <c r="I10" s="19" t="s">
        <v>115</v>
      </c>
      <c r="J10" s="17" t="s">
        <v>428</v>
      </c>
      <c r="K10" s="20" t="s">
        <v>311</v>
      </c>
      <c r="L10" s="16" t="s">
        <v>118</v>
      </c>
      <c r="M10" s="20" t="n">
        <v>4</v>
      </c>
      <c r="N10" s="17" t="s">
        <v>400</v>
      </c>
      <c r="O10" s="19" t="s">
        <v>119</v>
      </c>
      <c r="P10" s="21"/>
    </row>
    <row r="11" customFormat="false" ht="32.8" hidden="false" customHeight="false" outlineLevel="0" collapsed="false">
      <c r="A11" s="16" t="s">
        <v>112</v>
      </c>
      <c r="B11" s="16" t="s">
        <v>93</v>
      </c>
      <c r="C11" s="17" t="s">
        <v>94</v>
      </c>
      <c r="D11" s="18" t="n">
        <v>46402</v>
      </c>
      <c r="E11" s="19" t="s">
        <v>70</v>
      </c>
      <c r="F11" s="16" t="s">
        <v>426</v>
      </c>
      <c r="G11" s="17" t="s">
        <v>427</v>
      </c>
      <c r="H11" s="18" t="n">
        <v>46360</v>
      </c>
      <c r="I11" s="19" t="s">
        <v>115</v>
      </c>
      <c r="J11" s="17" t="s">
        <v>429</v>
      </c>
      <c r="K11" s="20" t="s">
        <v>311</v>
      </c>
      <c r="L11" s="16" t="s">
        <v>118</v>
      </c>
      <c r="M11" s="20" t="n">
        <v>3</v>
      </c>
      <c r="N11" s="17" t="s">
        <v>430</v>
      </c>
      <c r="O11" s="19" t="s">
        <v>119</v>
      </c>
      <c r="P11" s="21"/>
    </row>
    <row r="12" customFormat="false" ht="32.8" hidden="false" customHeight="false" outlineLevel="0" collapsed="false">
      <c r="A12" s="16" t="s">
        <v>112</v>
      </c>
      <c r="B12" s="16" t="s">
        <v>93</v>
      </c>
      <c r="C12" s="17" t="s">
        <v>94</v>
      </c>
      <c r="D12" s="18" t="n">
        <v>46402</v>
      </c>
      <c r="E12" s="19" t="s">
        <v>70</v>
      </c>
      <c r="F12" s="16" t="s">
        <v>426</v>
      </c>
      <c r="G12" s="17" t="s">
        <v>427</v>
      </c>
      <c r="H12" s="18" t="n">
        <v>46360</v>
      </c>
      <c r="I12" s="19" t="s">
        <v>115</v>
      </c>
      <c r="J12" s="17" t="s">
        <v>431</v>
      </c>
      <c r="K12" s="20" t="s">
        <v>311</v>
      </c>
      <c r="L12" s="16" t="s">
        <v>118</v>
      </c>
      <c r="M12" s="20" t="n">
        <v>3</v>
      </c>
      <c r="N12" s="17" t="s">
        <v>432</v>
      </c>
      <c r="O12" s="19" t="s">
        <v>119</v>
      </c>
      <c r="P12" s="21"/>
    </row>
    <row r="13" customFormat="false" ht="32.8" hidden="false" customHeight="false" outlineLevel="0" collapsed="false">
      <c r="A13" s="16" t="s">
        <v>112</v>
      </c>
      <c r="B13" s="16" t="s">
        <v>93</v>
      </c>
      <c r="C13" s="17" t="s">
        <v>94</v>
      </c>
      <c r="D13" s="18" t="n">
        <v>46402</v>
      </c>
      <c r="E13" s="19" t="s">
        <v>70</v>
      </c>
      <c r="F13" s="16" t="s">
        <v>426</v>
      </c>
      <c r="G13" s="17" t="s">
        <v>427</v>
      </c>
      <c r="H13" s="18" t="n">
        <v>46360</v>
      </c>
      <c r="I13" s="19" t="s">
        <v>115</v>
      </c>
      <c r="J13" s="17" t="s">
        <v>433</v>
      </c>
      <c r="K13" s="20" t="s">
        <v>311</v>
      </c>
      <c r="L13" s="16" t="s">
        <v>118</v>
      </c>
      <c r="M13" s="20" t="n">
        <v>2</v>
      </c>
      <c r="N13" s="17" t="s">
        <v>434</v>
      </c>
      <c r="O13" s="19" t="s">
        <v>119</v>
      </c>
      <c r="P13" s="21"/>
    </row>
    <row r="14" customFormat="false" ht="22.35" hidden="false" customHeight="false" outlineLevel="0" collapsed="false">
      <c r="A14" s="16" t="s">
        <v>112</v>
      </c>
      <c r="B14" s="16" t="s">
        <v>93</v>
      </c>
      <c r="C14" s="17" t="s">
        <v>94</v>
      </c>
      <c r="D14" s="18" t="n">
        <v>46402</v>
      </c>
      <c r="E14" s="19" t="s">
        <v>70</v>
      </c>
      <c r="F14" s="16" t="s">
        <v>435</v>
      </c>
      <c r="G14" s="17" t="s">
        <v>436</v>
      </c>
      <c r="H14" s="18" t="n">
        <v>46374</v>
      </c>
      <c r="I14" s="19" t="s">
        <v>115</v>
      </c>
      <c r="J14" s="17" t="s">
        <v>437</v>
      </c>
      <c r="K14" s="20" t="s">
        <v>368</v>
      </c>
      <c r="L14" s="16" t="s">
        <v>118</v>
      </c>
      <c r="M14" s="20" t="n">
        <v>5</v>
      </c>
      <c r="N14" s="17" t="s">
        <v>438</v>
      </c>
      <c r="O14" s="19" t="s">
        <v>119</v>
      </c>
      <c r="P14" s="21"/>
    </row>
    <row r="15" customFormat="false" ht="22.35" hidden="false" customHeight="false" outlineLevel="0" collapsed="false">
      <c r="A15" s="16" t="s">
        <v>112</v>
      </c>
      <c r="B15" s="16" t="s">
        <v>93</v>
      </c>
      <c r="C15" s="17" t="s">
        <v>94</v>
      </c>
      <c r="D15" s="18" t="n">
        <v>46402</v>
      </c>
      <c r="E15" s="19" t="s">
        <v>70</v>
      </c>
      <c r="F15" s="16" t="s">
        <v>435</v>
      </c>
      <c r="G15" s="17" t="s">
        <v>436</v>
      </c>
      <c r="H15" s="18" t="n">
        <v>46374</v>
      </c>
      <c r="I15" s="19" t="s">
        <v>115</v>
      </c>
      <c r="J15" s="17" t="s">
        <v>439</v>
      </c>
      <c r="K15" s="20" t="s">
        <v>368</v>
      </c>
      <c r="L15" s="16" t="s">
        <v>118</v>
      </c>
      <c r="M15" s="20" t="n">
        <v>3</v>
      </c>
      <c r="N15" s="17" t="s">
        <v>440</v>
      </c>
      <c r="O15" s="19" t="s">
        <v>119</v>
      </c>
      <c r="P15" s="21"/>
    </row>
    <row r="16" customFormat="false" ht="22.35" hidden="false" customHeight="false" outlineLevel="0" collapsed="false">
      <c r="A16" s="16" t="s">
        <v>112</v>
      </c>
      <c r="B16" s="16" t="s">
        <v>93</v>
      </c>
      <c r="C16" s="17" t="s">
        <v>94</v>
      </c>
      <c r="D16" s="18" t="n">
        <v>46402</v>
      </c>
      <c r="E16" s="19" t="s">
        <v>70</v>
      </c>
      <c r="F16" s="16" t="s">
        <v>435</v>
      </c>
      <c r="G16" s="17" t="s">
        <v>436</v>
      </c>
      <c r="H16" s="18" t="n">
        <v>46374</v>
      </c>
      <c r="I16" s="19" t="s">
        <v>115</v>
      </c>
      <c r="J16" s="17" t="s">
        <v>192</v>
      </c>
      <c r="K16" s="20" t="s">
        <v>368</v>
      </c>
      <c r="L16" s="16" t="s">
        <v>118</v>
      </c>
      <c r="M16" s="20" t="n">
        <v>2</v>
      </c>
      <c r="N16" s="17" t="s">
        <v>440</v>
      </c>
      <c r="O16" s="19" t="s">
        <v>119</v>
      </c>
      <c r="P16" s="21"/>
    </row>
  </sheetData>
  <autoFilter ref="A3:P16"/>
  <mergeCells count="1">
    <mergeCell ref="A1:L1"/>
  </mergeCells>
  <dataValidations count="3">
    <dataValidation allowBlank="true" errorStyle="stop" operator="between" showDropDown="false" showErrorMessage="false" showInputMessage="false" sqref="O4:O16" type="list">
      <formula1>"Backlog,To do,In progress,Blocked,Done"</formula1>
      <formula2>0</formula2>
    </dataValidation>
    <dataValidation allowBlank="true" errorStyle="stop" operator="between" showDropDown="false" showErrorMessage="false" showInputMessage="false" sqref="I4:I16" type="list">
      <formula1>"Não iniciado,Em curso,Feito"</formula1>
      <formula2>0</formula2>
    </dataValidation>
    <dataValidation allowBlank="true" errorStyle="stop" operator="between" showDropDown="false" showErrorMessage="false" showInputMessage="false" sqref="E4:E16" type="list">
      <formula1>"Não iniciada,Em curso,Feita"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5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21.75" hidden="false" customHeight="true" outlineLevel="0" collapsed="false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1.5" hidden="false" customHeight="true" outlineLevel="0" collapsed="false">
      <c r="A3" s="27" t="s">
        <v>2</v>
      </c>
      <c r="B3" s="27" t="s">
        <v>4</v>
      </c>
      <c r="C3" s="27" t="s">
        <v>13</v>
      </c>
      <c r="D3" s="27" t="s">
        <v>61</v>
      </c>
      <c r="E3" s="27" t="s">
        <v>62</v>
      </c>
      <c r="F3" s="27" t="s">
        <v>6</v>
      </c>
      <c r="G3" s="27" t="s">
        <v>106</v>
      </c>
      <c r="H3" s="27" t="s">
        <v>107</v>
      </c>
      <c r="I3" s="27" t="s">
        <v>108</v>
      </c>
      <c r="J3" s="27" t="s">
        <v>8</v>
      </c>
      <c r="K3" s="27" t="s">
        <v>39</v>
      </c>
      <c r="L3" s="27" t="s">
        <v>109</v>
      </c>
      <c r="M3" s="27" t="s">
        <v>110</v>
      </c>
      <c r="N3" s="27" t="s">
        <v>43</v>
      </c>
      <c r="O3" s="27" t="s">
        <v>111</v>
      </c>
      <c r="P3" s="27" t="s">
        <v>45</v>
      </c>
    </row>
    <row r="4" customFormat="false" ht="32.8" hidden="false" customHeight="false" outlineLevel="0" collapsed="false">
      <c r="A4" s="16" t="s">
        <v>112</v>
      </c>
      <c r="B4" s="16" t="s">
        <v>96</v>
      </c>
      <c r="C4" s="17" t="s">
        <v>97</v>
      </c>
      <c r="D4" s="18" t="n">
        <v>46500</v>
      </c>
      <c r="E4" s="19" t="s">
        <v>70</v>
      </c>
      <c r="F4" s="16" t="s">
        <v>441</v>
      </c>
      <c r="G4" s="17" t="s">
        <v>442</v>
      </c>
      <c r="H4" s="18" t="n">
        <v>46318</v>
      </c>
      <c r="I4" s="19" t="s">
        <v>115</v>
      </c>
      <c r="J4" s="17" t="s">
        <v>443</v>
      </c>
      <c r="K4" s="20" t="s">
        <v>131</v>
      </c>
      <c r="L4" s="16" t="s">
        <v>118</v>
      </c>
      <c r="M4" s="20" t="n">
        <v>3</v>
      </c>
      <c r="N4" s="17"/>
      <c r="O4" s="19" t="s">
        <v>119</v>
      </c>
      <c r="P4" s="21"/>
    </row>
    <row r="5" customFormat="false" ht="32.8" hidden="false" customHeight="false" outlineLevel="0" collapsed="false">
      <c r="A5" s="16" t="s">
        <v>112</v>
      </c>
      <c r="B5" s="16" t="s">
        <v>96</v>
      </c>
      <c r="C5" s="17" t="s">
        <v>97</v>
      </c>
      <c r="D5" s="18" t="n">
        <v>46500</v>
      </c>
      <c r="E5" s="19" t="s">
        <v>70</v>
      </c>
      <c r="F5" s="16" t="s">
        <v>441</v>
      </c>
      <c r="G5" s="17" t="s">
        <v>442</v>
      </c>
      <c r="H5" s="18" t="n">
        <v>46318</v>
      </c>
      <c r="I5" s="19" t="s">
        <v>115</v>
      </c>
      <c r="J5" s="17" t="s">
        <v>444</v>
      </c>
      <c r="K5" s="20" t="s">
        <v>131</v>
      </c>
      <c r="L5" s="16" t="s">
        <v>118</v>
      </c>
      <c r="M5" s="20" t="n">
        <v>3</v>
      </c>
      <c r="N5" s="17" t="s">
        <v>445</v>
      </c>
      <c r="O5" s="19" t="s">
        <v>119</v>
      </c>
      <c r="P5" s="21"/>
    </row>
    <row r="6" customFormat="false" ht="32.8" hidden="false" customHeight="false" outlineLevel="0" collapsed="false">
      <c r="A6" s="16" t="s">
        <v>112</v>
      </c>
      <c r="B6" s="16" t="s">
        <v>96</v>
      </c>
      <c r="C6" s="17" t="s">
        <v>97</v>
      </c>
      <c r="D6" s="18" t="n">
        <v>46500</v>
      </c>
      <c r="E6" s="19" t="s">
        <v>70</v>
      </c>
      <c r="F6" s="16" t="s">
        <v>441</v>
      </c>
      <c r="G6" s="17" t="s">
        <v>442</v>
      </c>
      <c r="H6" s="18" t="n">
        <v>46318</v>
      </c>
      <c r="I6" s="19" t="s">
        <v>115</v>
      </c>
      <c r="J6" s="17" t="s">
        <v>446</v>
      </c>
      <c r="K6" s="20" t="s">
        <v>131</v>
      </c>
      <c r="L6" s="16" t="s">
        <v>118</v>
      </c>
      <c r="M6" s="20" t="n">
        <v>2</v>
      </c>
      <c r="N6" s="17" t="s">
        <v>185</v>
      </c>
      <c r="O6" s="19" t="s">
        <v>119</v>
      </c>
      <c r="P6" s="21"/>
    </row>
    <row r="7" customFormat="false" ht="22.35" hidden="false" customHeight="false" outlineLevel="0" collapsed="false">
      <c r="A7" s="16" t="s">
        <v>112</v>
      </c>
      <c r="B7" s="16" t="s">
        <v>96</v>
      </c>
      <c r="C7" s="17" t="s">
        <v>97</v>
      </c>
      <c r="D7" s="18" t="n">
        <v>46500</v>
      </c>
      <c r="E7" s="19" t="s">
        <v>70</v>
      </c>
      <c r="F7" s="16" t="s">
        <v>447</v>
      </c>
      <c r="G7" s="17" t="s">
        <v>448</v>
      </c>
      <c r="H7" s="18" t="n">
        <v>46500</v>
      </c>
      <c r="I7" s="19" t="s">
        <v>115</v>
      </c>
      <c r="J7" s="17" t="s">
        <v>449</v>
      </c>
      <c r="K7" s="20" t="s">
        <v>389</v>
      </c>
      <c r="L7" s="16" t="s">
        <v>118</v>
      </c>
      <c r="M7" s="20" t="n">
        <v>2</v>
      </c>
      <c r="N7" s="17" t="s">
        <v>450</v>
      </c>
      <c r="O7" s="19" t="s">
        <v>119</v>
      </c>
      <c r="P7" s="21"/>
    </row>
    <row r="8" customFormat="false" ht="22.35" hidden="false" customHeight="false" outlineLevel="0" collapsed="false">
      <c r="A8" s="16" t="s">
        <v>112</v>
      </c>
      <c r="B8" s="16" t="s">
        <v>96</v>
      </c>
      <c r="C8" s="17" t="s">
        <v>97</v>
      </c>
      <c r="D8" s="18" t="n">
        <v>46500</v>
      </c>
      <c r="E8" s="19" t="s">
        <v>70</v>
      </c>
      <c r="F8" s="16" t="s">
        <v>447</v>
      </c>
      <c r="G8" s="17" t="s">
        <v>448</v>
      </c>
      <c r="H8" s="18" t="n">
        <v>46500</v>
      </c>
      <c r="I8" s="19" t="s">
        <v>115</v>
      </c>
      <c r="J8" s="17" t="s">
        <v>451</v>
      </c>
      <c r="K8" s="20" t="s">
        <v>452</v>
      </c>
      <c r="L8" s="16" t="s">
        <v>118</v>
      </c>
      <c r="M8" s="20" t="n">
        <v>10</v>
      </c>
      <c r="N8" s="17" t="s">
        <v>453</v>
      </c>
      <c r="O8" s="19" t="s">
        <v>119</v>
      </c>
      <c r="P8" s="21"/>
    </row>
    <row r="9" customFormat="false" ht="22.35" hidden="false" customHeight="false" outlineLevel="0" collapsed="false">
      <c r="A9" s="16" t="s">
        <v>112</v>
      </c>
      <c r="B9" s="16" t="s">
        <v>96</v>
      </c>
      <c r="C9" s="17" t="s">
        <v>97</v>
      </c>
      <c r="D9" s="18" t="n">
        <v>46500</v>
      </c>
      <c r="E9" s="19" t="s">
        <v>70</v>
      </c>
      <c r="F9" s="16" t="s">
        <v>447</v>
      </c>
      <c r="G9" s="17" t="s">
        <v>448</v>
      </c>
      <c r="H9" s="18" t="n">
        <v>46500</v>
      </c>
      <c r="I9" s="19" t="s">
        <v>115</v>
      </c>
      <c r="J9" s="17" t="s">
        <v>454</v>
      </c>
      <c r="K9" s="20" t="s">
        <v>455</v>
      </c>
      <c r="L9" s="16" t="s">
        <v>118</v>
      </c>
      <c r="M9" s="20" t="n">
        <v>4</v>
      </c>
      <c r="N9" s="17" t="s">
        <v>456</v>
      </c>
      <c r="O9" s="19" t="s">
        <v>119</v>
      </c>
      <c r="P9" s="21"/>
    </row>
  </sheetData>
  <autoFilter ref="A3:P9"/>
  <mergeCells count="1">
    <mergeCell ref="A1:L1"/>
  </mergeCells>
  <dataValidations count="3">
    <dataValidation allowBlank="true" errorStyle="stop" operator="between" showDropDown="false" showErrorMessage="false" showInputMessage="false" sqref="O4:O9" type="list">
      <formula1>"Backlog,To do,In progress,Blocked,Done"</formula1>
      <formula2>0</formula2>
    </dataValidation>
    <dataValidation allowBlank="true" errorStyle="stop" operator="between" showDropDown="false" showErrorMessage="false" showInputMessage="false" sqref="I4:I9" type="list">
      <formula1>"Não iniciado,Em curso,Feito"</formula1>
      <formula2>0</formula2>
    </dataValidation>
    <dataValidation allowBlank="true" errorStyle="stop" operator="between" showDropDown="false" showErrorMessage="false" showInputMessage="false" sqref="E4:E9" type="list">
      <formula1>"Não iniciada,Em curso,Feita"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5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21.75" hidden="false" customHeight="true" outlineLevel="0" collapsed="false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1.5" hidden="false" customHeight="true" outlineLevel="0" collapsed="false">
      <c r="A3" s="27" t="s">
        <v>2</v>
      </c>
      <c r="B3" s="27" t="s">
        <v>4</v>
      </c>
      <c r="C3" s="27" t="s">
        <v>13</v>
      </c>
      <c r="D3" s="27" t="s">
        <v>61</v>
      </c>
      <c r="E3" s="27" t="s">
        <v>62</v>
      </c>
      <c r="F3" s="27" t="s">
        <v>6</v>
      </c>
      <c r="G3" s="27" t="s">
        <v>106</v>
      </c>
      <c r="H3" s="27" t="s">
        <v>107</v>
      </c>
      <c r="I3" s="27" t="s">
        <v>108</v>
      </c>
      <c r="J3" s="27" t="s">
        <v>8</v>
      </c>
      <c r="K3" s="27" t="s">
        <v>39</v>
      </c>
      <c r="L3" s="27" t="s">
        <v>109</v>
      </c>
      <c r="M3" s="27" t="s">
        <v>110</v>
      </c>
      <c r="N3" s="27" t="s">
        <v>43</v>
      </c>
      <c r="O3" s="27" t="s">
        <v>111</v>
      </c>
      <c r="P3" s="27" t="s">
        <v>45</v>
      </c>
    </row>
    <row r="4" customFormat="false" ht="32.8" hidden="false" customHeight="false" outlineLevel="0" collapsed="false">
      <c r="A4" s="16" t="s">
        <v>112</v>
      </c>
      <c r="B4" s="16" t="s">
        <v>99</v>
      </c>
      <c r="C4" s="17" t="s">
        <v>100</v>
      </c>
      <c r="D4" s="18" t="n">
        <v>46556</v>
      </c>
      <c r="E4" s="19" t="s">
        <v>70</v>
      </c>
      <c r="F4" s="16" t="s">
        <v>457</v>
      </c>
      <c r="G4" s="17" t="s">
        <v>458</v>
      </c>
      <c r="H4" s="18" t="n">
        <v>46514</v>
      </c>
      <c r="I4" s="19" t="s">
        <v>115</v>
      </c>
      <c r="J4" s="17" t="s">
        <v>459</v>
      </c>
      <c r="K4" s="20" t="s">
        <v>452</v>
      </c>
      <c r="L4" s="16" t="s">
        <v>118</v>
      </c>
      <c r="M4" s="20" t="n">
        <v>3</v>
      </c>
      <c r="N4" s="17" t="s">
        <v>390</v>
      </c>
      <c r="O4" s="19" t="s">
        <v>119</v>
      </c>
      <c r="P4" s="21"/>
    </row>
    <row r="5" customFormat="false" ht="32.8" hidden="false" customHeight="false" outlineLevel="0" collapsed="false">
      <c r="A5" s="16" t="s">
        <v>112</v>
      </c>
      <c r="B5" s="16" t="s">
        <v>99</v>
      </c>
      <c r="C5" s="17" t="s">
        <v>100</v>
      </c>
      <c r="D5" s="18" t="n">
        <v>46556</v>
      </c>
      <c r="E5" s="19" t="s">
        <v>70</v>
      </c>
      <c r="F5" s="16" t="s">
        <v>457</v>
      </c>
      <c r="G5" s="17" t="s">
        <v>458</v>
      </c>
      <c r="H5" s="18" t="n">
        <v>46514</v>
      </c>
      <c r="I5" s="19" t="s">
        <v>115</v>
      </c>
      <c r="J5" s="17" t="s">
        <v>460</v>
      </c>
      <c r="K5" s="20" t="s">
        <v>455</v>
      </c>
      <c r="L5" s="16" t="s">
        <v>118</v>
      </c>
      <c r="M5" s="20" t="n">
        <v>3</v>
      </c>
      <c r="N5" s="17" t="s">
        <v>461</v>
      </c>
      <c r="O5" s="19" t="s">
        <v>119</v>
      </c>
      <c r="P5" s="21"/>
    </row>
    <row r="6" customFormat="false" ht="32.8" hidden="false" customHeight="false" outlineLevel="0" collapsed="false">
      <c r="A6" s="16" t="s">
        <v>112</v>
      </c>
      <c r="B6" s="16" t="s">
        <v>99</v>
      </c>
      <c r="C6" s="17" t="s">
        <v>100</v>
      </c>
      <c r="D6" s="18" t="n">
        <v>46556</v>
      </c>
      <c r="E6" s="19" t="s">
        <v>70</v>
      </c>
      <c r="F6" s="16" t="s">
        <v>457</v>
      </c>
      <c r="G6" s="17" t="s">
        <v>458</v>
      </c>
      <c r="H6" s="18" t="n">
        <v>46514</v>
      </c>
      <c r="I6" s="19" t="s">
        <v>115</v>
      </c>
      <c r="J6" s="17" t="s">
        <v>462</v>
      </c>
      <c r="K6" s="20" t="s">
        <v>455</v>
      </c>
      <c r="L6" s="16" t="s">
        <v>118</v>
      </c>
      <c r="M6" s="20" t="n">
        <v>3</v>
      </c>
      <c r="N6" s="17"/>
      <c r="O6" s="19" t="s">
        <v>119</v>
      </c>
      <c r="P6" s="21"/>
    </row>
    <row r="7" customFormat="false" ht="32.8" hidden="false" customHeight="false" outlineLevel="0" collapsed="false">
      <c r="A7" s="16" t="s">
        <v>112</v>
      </c>
      <c r="B7" s="16" t="s">
        <v>99</v>
      </c>
      <c r="C7" s="17" t="s">
        <v>100</v>
      </c>
      <c r="D7" s="18" t="n">
        <v>46556</v>
      </c>
      <c r="E7" s="19" t="s">
        <v>70</v>
      </c>
      <c r="F7" s="16" t="s">
        <v>457</v>
      </c>
      <c r="G7" s="17" t="s">
        <v>458</v>
      </c>
      <c r="H7" s="18" t="n">
        <v>46514</v>
      </c>
      <c r="I7" s="19" t="s">
        <v>115</v>
      </c>
      <c r="J7" s="17" t="s">
        <v>463</v>
      </c>
      <c r="K7" s="20" t="s">
        <v>464</v>
      </c>
      <c r="L7" s="16" t="s">
        <v>118</v>
      </c>
      <c r="M7" s="20" t="n">
        <v>5</v>
      </c>
      <c r="N7" s="17" t="s">
        <v>465</v>
      </c>
      <c r="O7" s="19" t="s">
        <v>119</v>
      </c>
      <c r="P7" s="21"/>
    </row>
    <row r="8" customFormat="false" ht="32.8" hidden="false" customHeight="false" outlineLevel="0" collapsed="false">
      <c r="A8" s="16" t="s">
        <v>112</v>
      </c>
      <c r="B8" s="16" t="s">
        <v>99</v>
      </c>
      <c r="C8" s="17" t="s">
        <v>100</v>
      </c>
      <c r="D8" s="18" t="n">
        <v>46556</v>
      </c>
      <c r="E8" s="19" t="s">
        <v>70</v>
      </c>
      <c r="F8" s="16" t="s">
        <v>466</v>
      </c>
      <c r="G8" s="17" t="s">
        <v>467</v>
      </c>
      <c r="H8" s="18" t="n">
        <v>46556</v>
      </c>
      <c r="I8" s="19" t="s">
        <v>115</v>
      </c>
      <c r="J8" s="17" t="s">
        <v>468</v>
      </c>
      <c r="K8" s="20" t="s">
        <v>464</v>
      </c>
      <c r="L8" s="16" t="s">
        <v>118</v>
      </c>
      <c r="M8" s="20" t="n">
        <v>3</v>
      </c>
      <c r="N8" s="17" t="s">
        <v>469</v>
      </c>
      <c r="O8" s="19" t="s">
        <v>119</v>
      </c>
      <c r="P8" s="21"/>
    </row>
    <row r="9" customFormat="false" ht="32.8" hidden="false" customHeight="false" outlineLevel="0" collapsed="false">
      <c r="A9" s="16" t="s">
        <v>112</v>
      </c>
      <c r="B9" s="16" t="s">
        <v>99</v>
      </c>
      <c r="C9" s="17" t="s">
        <v>100</v>
      </c>
      <c r="D9" s="18" t="n">
        <v>46556</v>
      </c>
      <c r="E9" s="19" t="s">
        <v>70</v>
      </c>
      <c r="F9" s="16" t="s">
        <v>466</v>
      </c>
      <c r="G9" s="17" t="s">
        <v>467</v>
      </c>
      <c r="H9" s="18" t="n">
        <v>46556</v>
      </c>
      <c r="I9" s="19" t="s">
        <v>115</v>
      </c>
      <c r="J9" s="17" t="s">
        <v>470</v>
      </c>
      <c r="K9" s="20" t="s">
        <v>464</v>
      </c>
      <c r="L9" s="16" t="s">
        <v>118</v>
      </c>
      <c r="M9" s="20" t="n">
        <v>1</v>
      </c>
      <c r="N9" s="17" t="s">
        <v>471</v>
      </c>
      <c r="O9" s="19" t="s">
        <v>119</v>
      </c>
      <c r="P9" s="21"/>
    </row>
    <row r="10" customFormat="false" ht="32.8" hidden="false" customHeight="false" outlineLevel="0" collapsed="false">
      <c r="A10" s="16" t="s">
        <v>112</v>
      </c>
      <c r="B10" s="16" t="s">
        <v>99</v>
      </c>
      <c r="C10" s="17" t="s">
        <v>100</v>
      </c>
      <c r="D10" s="18" t="n">
        <v>46556</v>
      </c>
      <c r="E10" s="19" t="s">
        <v>70</v>
      </c>
      <c r="F10" s="16" t="s">
        <v>466</v>
      </c>
      <c r="G10" s="17" t="s">
        <v>467</v>
      </c>
      <c r="H10" s="18" t="n">
        <v>46556</v>
      </c>
      <c r="I10" s="19" t="s">
        <v>115</v>
      </c>
      <c r="J10" s="17" t="s">
        <v>472</v>
      </c>
      <c r="K10" s="20" t="s">
        <v>386</v>
      </c>
      <c r="L10" s="16" t="s">
        <v>118</v>
      </c>
      <c r="M10" s="20" t="n">
        <v>4</v>
      </c>
      <c r="N10" s="17" t="s">
        <v>473</v>
      </c>
      <c r="O10" s="19" t="s">
        <v>119</v>
      </c>
      <c r="P10" s="21"/>
    </row>
    <row r="11" customFormat="false" ht="32.8" hidden="false" customHeight="false" outlineLevel="0" collapsed="false">
      <c r="A11" s="16" t="s">
        <v>112</v>
      </c>
      <c r="B11" s="16" t="s">
        <v>99</v>
      </c>
      <c r="C11" s="17" t="s">
        <v>100</v>
      </c>
      <c r="D11" s="18" t="n">
        <v>46556</v>
      </c>
      <c r="E11" s="19" t="s">
        <v>70</v>
      </c>
      <c r="F11" s="16" t="s">
        <v>466</v>
      </c>
      <c r="G11" s="17" t="s">
        <v>467</v>
      </c>
      <c r="H11" s="18" t="n">
        <v>46556</v>
      </c>
      <c r="I11" s="19" t="s">
        <v>115</v>
      </c>
      <c r="J11" s="17" t="s">
        <v>474</v>
      </c>
      <c r="K11" s="20" t="s">
        <v>475</v>
      </c>
      <c r="L11" s="16" t="s">
        <v>118</v>
      </c>
      <c r="M11" s="20" t="n">
        <v>5</v>
      </c>
      <c r="N11" s="17" t="s">
        <v>476</v>
      </c>
      <c r="O11" s="19" t="s">
        <v>119</v>
      </c>
      <c r="P11" s="21"/>
    </row>
  </sheetData>
  <autoFilter ref="A3:P11"/>
  <mergeCells count="1">
    <mergeCell ref="A1:L1"/>
  </mergeCells>
  <dataValidations count="3">
    <dataValidation allowBlank="true" errorStyle="stop" operator="between" showDropDown="false" showErrorMessage="false" showInputMessage="false" sqref="O4:O11" type="list">
      <formula1>"Backlog,To do,In progress,Blocked,Done"</formula1>
      <formula2>0</formula2>
    </dataValidation>
    <dataValidation allowBlank="true" errorStyle="stop" operator="between" showDropDown="false" showErrorMessage="false" showInputMessage="false" sqref="I4:I11" type="list">
      <formula1>"Não iniciado,Em curso,Feito"</formula1>
      <formula2>0</formula2>
    </dataValidation>
    <dataValidation allowBlank="true" errorStyle="stop" operator="between" showDropDown="false" showErrorMessage="false" showInputMessage="false" sqref="E4:E11" type="list">
      <formula1>"Não iniciada,Em curso,Feita"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5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21.75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1.5" hidden="false" customHeight="true" outlineLevel="0" collapsed="false">
      <c r="A3" s="27" t="s">
        <v>2</v>
      </c>
      <c r="B3" s="27" t="s">
        <v>4</v>
      </c>
      <c r="C3" s="27" t="s">
        <v>13</v>
      </c>
      <c r="D3" s="27" t="s">
        <v>61</v>
      </c>
      <c r="E3" s="27" t="s">
        <v>62</v>
      </c>
      <c r="F3" s="27" t="s">
        <v>6</v>
      </c>
      <c r="G3" s="27" t="s">
        <v>106</v>
      </c>
      <c r="H3" s="27" t="s">
        <v>107</v>
      </c>
      <c r="I3" s="27" t="s">
        <v>108</v>
      </c>
      <c r="J3" s="27" t="s">
        <v>8</v>
      </c>
      <c r="K3" s="27" t="s">
        <v>39</v>
      </c>
      <c r="L3" s="27" t="s">
        <v>109</v>
      </c>
      <c r="M3" s="27" t="s">
        <v>110</v>
      </c>
      <c r="N3" s="27" t="s">
        <v>43</v>
      </c>
      <c r="O3" s="27" t="s">
        <v>111</v>
      </c>
      <c r="P3" s="27" t="s">
        <v>45</v>
      </c>
    </row>
    <row r="4" customFormat="false" ht="15" hidden="false" customHeight="false" outlineLevel="0" collapsed="false">
      <c r="A4" s="16" t="s">
        <v>112</v>
      </c>
      <c r="B4" s="16" t="s">
        <v>102</v>
      </c>
      <c r="C4" s="17"/>
      <c r="D4" s="18"/>
      <c r="E4" s="19"/>
      <c r="F4" s="16" t="s">
        <v>477</v>
      </c>
      <c r="G4" s="17" t="s">
        <v>478</v>
      </c>
      <c r="H4" s="18" t="n">
        <v>46276</v>
      </c>
      <c r="I4" s="19" t="s">
        <v>115</v>
      </c>
      <c r="J4" s="17" t="s">
        <v>479</v>
      </c>
      <c r="K4" s="20" t="s">
        <v>117</v>
      </c>
      <c r="L4" s="16" t="s">
        <v>118</v>
      </c>
      <c r="M4" s="20" t="n">
        <v>1</v>
      </c>
      <c r="N4" s="17"/>
      <c r="O4" s="19" t="s">
        <v>119</v>
      </c>
      <c r="P4" s="21"/>
    </row>
    <row r="5" customFormat="false" ht="15" hidden="false" customHeight="false" outlineLevel="0" collapsed="false">
      <c r="A5" s="16" t="s">
        <v>112</v>
      </c>
      <c r="B5" s="16" t="s">
        <v>102</v>
      </c>
      <c r="C5" s="17"/>
      <c r="D5" s="18"/>
      <c r="E5" s="19"/>
      <c r="F5" s="16" t="s">
        <v>480</v>
      </c>
      <c r="G5" s="17" t="s">
        <v>481</v>
      </c>
      <c r="H5" s="18"/>
      <c r="I5" s="19" t="s">
        <v>115</v>
      </c>
      <c r="J5" s="17" t="s">
        <v>482</v>
      </c>
      <c r="K5" s="20" t="s">
        <v>483</v>
      </c>
      <c r="L5" s="16" t="s">
        <v>118</v>
      </c>
      <c r="M5" s="20" t="n">
        <v>3</v>
      </c>
      <c r="N5" s="17" t="s">
        <v>477</v>
      </c>
      <c r="O5" s="19" t="s">
        <v>119</v>
      </c>
      <c r="P5" s="21"/>
    </row>
    <row r="6" customFormat="false" ht="15" hidden="false" customHeight="false" outlineLevel="0" collapsed="false">
      <c r="A6" s="16" t="s">
        <v>112</v>
      </c>
      <c r="B6" s="16" t="s">
        <v>102</v>
      </c>
      <c r="C6" s="17"/>
      <c r="D6" s="18"/>
      <c r="E6" s="19"/>
      <c r="F6" s="16" t="s">
        <v>480</v>
      </c>
      <c r="G6" s="17" t="s">
        <v>481</v>
      </c>
      <c r="H6" s="18"/>
      <c r="I6" s="19" t="s">
        <v>115</v>
      </c>
      <c r="J6" s="17" t="s">
        <v>484</v>
      </c>
      <c r="K6" s="20" t="s">
        <v>483</v>
      </c>
      <c r="L6" s="16" t="s">
        <v>118</v>
      </c>
      <c r="M6" s="20" t="n">
        <v>3</v>
      </c>
      <c r="N6" s="17" t="s">
        <v>477</v>
      </c>
      <c r="O6" s="19" t="s">
        <v>119</v>
      </c>
      <c r="P6" s="21"/>
    </row>
    <row r="7" customFormat="false" ht="15" hidden="false" customHeight="false" outlineLevel="0" collapsed="false">
      <c r="A7" s="16" t="s">
        <v>112</v>
      </c>
      <c r="B7" s="16" t="s">
        <v>102</v>
      </c>
      <c r="C7" s="17"/>
      <c r="D7" s="18"/>
      <c r="E7" s="19"/>
      <c r="F7" s="16" t="s">
        <v>480</v>
      </c>
      <c r="G7" s="17" t="s">
        <v>481</v>
      </c>
      <c r="H7" s="18"/>
      <c r="I7" s="19" t="s">
        <v>115</v>
      </c>
      <c r="J7" s="17" t="s">
        <v>485</v>
      </c>
      <c r="K7" s="20" t="s">
        <v>483</v>
      </c>
      <c r="L7" s="16" t="s">
        <v>118</v>
      </c>
      <c r="M7" s="20" t="n">
        <v>5</v>
      </c>
      <c r="N7" s="17" t="s">
        <v>477</v>
      </c>
      <c r="O7" s="19" t="s">
        <v>119</v>
      </c>
      <c r="P7" s="21"/>
    </row>
    <row r="8" customFormat="false" ht="15" hidden="false" customHeight="false" outlineLevel="0" collapsed="false">
      <c r="A8" s="16" t="s">
        <v>112</v>
      </c>
      <c r="B8" s="16" t="s">
        <v>102</v>
      </c>
      <c r="C8" s="17"/>
      <c r="D8" s="18"/>
      <c r="E8" s="19"/>
      <c r="F8" s="16" t="s">
        <v>480</v>
      </c>
      <c r="G8" s="17" t="s">
        <v>481</v>
      </c>
      <c r="H8" s="18"/>
      <c r="I8" s="19" t="s">
        <v>115</v>
      </c>
      <c r="J8" s="17" t="s">
        <v>486</v>
      </c>
      <c r="K8" s="20" t="s">
        <v>483</v>
      </c>
      <c r="L8" s="16" t="s">
        <v>118</v>
      </c>
      <c r="M8" s="20" t="n">
        <v>5</v>
      </c>
      <c r="N8" s="17" t="s">
        <v>477</v>
      </c>
      <c r="O8" s="19" t="s">
        <v>119</v>
      </c>
      <c r="P8" s="21"/>
    </row>
  </sheetData>
  <autoFilter ref="A3:P8"/>
  <mergeCells count="1">
    <mergeCell ref="A1:L1"/>
  </mergeCells>
  <dataValidations count="3">
    <dataValidation allowBlank="true" errorStyle="stop" operator="between" showDropDown="false" showErrorMessage="false" showInputMessage="false" sqref="O4:O8" type="list">
      <formula1>"Backlog,To do,In progress,Blocked,Done"</formula1>
      <formula2>0</formula2>
    </dataValidation>
    <dataValidation allowBlank="true" errorStyle="stop" operator="between" showDropDown="false" showErrorMessage="false" showInputMessage="false" sqref="I4:I8" type="list">
      <formula1>"Não iniciado,Em curso,Feito"</formula1>
      <formula2>0</formula2>
    </dataValidation>
    <dataValidation allowBlank="true" errorStyle="stop" operator="between" showDropDown="false" showErrorMessage="false" showInputMessage="false" sqref="E4:E8" type="list">
      <formula1>"Não iniciada,Em curso,Feita"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2026-09-01T06:02:28Z</dcterms:created>
  <dc:creator>openpyxl</dc:creator>
  <dc:description/>
  <dc:language>en-US</dc:language>
  <cp:lastModifiedBy/>
  <dcterms:modified xsi:type="dcterms:W3CDTF">2026-09-01T06:02:28Z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